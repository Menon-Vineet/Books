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ff\Studies\UBC\MBAN\3 Course\P4\BAFI508 Investments\Class 2\"/>
    </mc:Choice>
  </mc:AlternateContent>
  <xr:revisionPtr revIDLastSave="0" documentId="13_ncr:1_{16858A2A-E447-481B-A4DD-A532073713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iginal Data" sheetId="1" r:id="rId1"/>
    <sheet name="BH" sheetId="2" r:id="rId2"/>
    <sheet name="RB" sheetId="3" r:id="rId3"/>
    <sheet name="Return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7" i="2" l="1"/>
  <c r="M257" i="3"/>
  <c r="O257" i="3" s="1"/>
  <c r="AC257" i="3" s="1"/>
  <c r="E257" i="3"/>
  <c r="G257" i="3" s="1"/>
  <c r="AB257" i="3" s="1"/>
  <c r="M256" i="3"/>
  <c r="O256" i="3" s="1"/>
  <c r="AC256" i="3" s="1"/>
  <c r="E256" i="3"/>
  <c r="G256" i="3" s="1"/>
  <c r="AB256" i="3" s="1"/>
  <c r="M255" i="3"/>
  <c r="O255" i="3" s="1"/>
  <c r="AC255" i="3" s="1"/>
  <c r="G255" i="3"/>
  <c r="AB255" i="3" s="1"/>
  <c r="E255" i="3"/>
  <c r="AB254" i="3"/>
  <c r="M254" i="3"/>
  <c r="O254" i="3" s="1"/>
  <c r="AC254" i="3" s="1"/>
  <c r="E254" i="3"/>
  <c r="G254" i="3" s="1"/>
  <c r="M253" i="3"/>
  <c r="O253" i="3" s="1"/>
  <c r="AC253" i="3" s="1"/>
  <c r="E253" i="3"/>
  <c r="G253" i="3" s="1"/>
  <c r="AB253" i="3" s="1"/>
  <c r="M252" i="3"/>
  <c r="O252" i="3" s="1"/>
  <c r="AC252" i="3" s="1"/>
  <c r="E252" i="3"/>
  <c r="G252" i="3" s="1"/>
  <c r="AB252" i="3" s="1"/>
  <c r="O251" i="3"/>
  <c r="AC251" i="3" s="1"/>
  <c r="M251" i="3"/>
  <c r="E251" i="3"/>
  <c r="G251" i="3" s="1"/>
  <c r="AB251" i="3" s="1"/>
  <c r="M250" i="3"/>
  <c r="O250" i="3" s="1"/>
  <c r="AC250" i="3" s="1"/>
  <c r="E250" i="3"/>
  <c r="G250" i="3" s="1"/>
  <c r="AB250" i="3" s="1"/>
  <c r="M249" i="3"/>
  <c r="O249" i="3" s="1"/>
  <c r="AC249" i="3" s="1"/>
  <c r="E249" i="3"/>
  <c r="G249" i="3" s="1"/>
  <c r="AB249" i="3" s="1"/>
  <c r="M248" i="3"/>
  <c r="O248" i="3" s="1"/>
  <c r="AC248" i="3" s="1"/>
  <c r="G248" i="3"/>
  <c r="AB248" i="3" s="1"/>
  <c r="E248" i="3"/>
  <c r="M247" i="3"/>
  <c r="O247" i="3" s="1"/>
  <c r="AC247" i="3" s="1"/>
  <c r="G247" i="3"/>
  <c r="AB247" i="3" s="1"/>
  <c r="E247" i="3"/>
  <c r="M246" i="3"/>
  <c r="O246" i="3" s="1"/>
  <c r="AC246" i="3" s="1"/>
  <c r="E246" i="3"/>
  <c r="G246" i="3" s="1"/>
  <c r="AB246" i="3" s="1"/>
  <c r="M245" i="3"/>
  <c r="O245" i="3" s="1"/>
  <c r="AC245" i="3" s="1"/>
  <c r="E245" i="3"/>
  <c r="G245" i="3" s="1"/>
  <c r="AB245" i="3" s="1"/>
  <c r="M244" i="3"/>
  <c r="O244" i="3" s="1"/>
  <c r="AC244" i="3" s="1"/>
  <c r="E244" i="3"/>
  <c r="G244" i="3" s="1"/>
  <c r="AB244" i="3" s="1"/>
  <c r="M243" i="3"/>
  <c r="O243" i="3" s="1"/>
  <c r="AC243" i="3" s="1"/>
  <c r="E243" i="3"/>
  <c r="G243" i="3" s="1"/>
  <c r="AB243" i="3" s="1"/>
  <c r="M242" i="3"/>
  <c r="O242" i="3" s="1"/>
  <c r="AC242" i="3" s="1"/>
  <c r="E242" i="3"/>
  <c r="G242" i="3" s="1"/>
  <c r="AB242" i="3" s="1"/>
  <c r="M241" i="3"/>
  <c r="O241" i="3" s="1"/>
  <c r="AC241" i="3" s="1"/>
  <c r="E241" i="3"/>
  <c r="G241" i="3" s="1"/>
  <c r="AB241" i="3" s="1"/>
  <c r="M240" i="3"/>
  <c r="O240" i="3" s="1"/>
  <c r="AC240" i="3" s="1"/>
  <c r="E240" i="3"/>
  <c r="G240" i="3" s="1"/>
  <c r="AB240" i="3" s="1"/>
  <c r="M239" i="3"/>
  <c r="O239" i="3" s="1"/>
  <c r="AC239" i="3" s="1"/>
  <c r="E239" i="3"/>
  <c r="G239" i="3" s="1"/>
  <c r="AB239" i="3" s="1"/>
  <c r="M238" i="3"/>
  <c r="O238" i="3" s="1"/>
  <c r="AC238" i="3" s="1"/>
  <c r="E238" i="3"/>
  <c r="G238" i="3" s="1"/>
  <c r="AB238" i="3" s="1"/>
  <c r="M237" i="3"/>
  <c r="O237" i="3" s="1"/>
  <c r="AC237" i="3" s="1"/>
  <c r="E237" i="3"/>
  <c r="G237" i="3" s="1"/>
  <c r="AB237" i="3" s="1"/>
  <c r="M236" i="3"/>
  <c r="O236" i="3" s="1"/>
  <c r="AC236" i="3" s="1"/>
  <c r="E236" i="3"/>
  <c r="G236" i="3" s="1"/>
  <c r="AB236" i="3" s="1"/>
  <c r="M235" i="3"/>
  <c r="O235" i="3" s="1"/>
  <c r="AC235" i="3" s="1"/>
  <c r="E235" i="3"/>
  <c r="G235" i="3" s="1"/>
  <c r="AB235" i="3" s="1"/>
  <c r="M234" i="3"/>
  <c r="O234" i="3" s="1"/>
  <c r="AC234" i="3" s="1"/>
  <c r="E234" i="3"/>
  <c r="G234" i="3" s="1"/>
  <c r="AB234" i="3" s="1"/>
  <c r="M233" i="3"/>
  <c r="O233" i="3" s="1"/>
  <c r="AC233" i="3" s="1"/>
  <c r="E233" i="3"/>
  <c r="G233" i="3" s="1"/>
  <c r="AB233" i="3" s="1"/>
  <c r="M232" i="3"/>
  <c r="O232" i="3" s="1"/>
  <c r="AC232" i="3" s="1"/>
  <c r="E232" i="3"/>
  <c r="G232" i="3" s="1"/>
  <c r="AB232" i="3" s="1"/>
  <c r="M231" i="3"/>
  <c r="O231" i="3" s="1"/>
  <c r="AC231" i="3" s="1"/>
  <c r="E231" i="3"/>
  <c r="G231" i="3" s="1"/>
  <c r="AB231" i="3" s="1"/>
  <c r="M230" i="3"/>
  <c r="O230" i="3" s="1"/>
  <c r="AC230" i="3" s="1"/>
  <c r="E230" i="3"/>
  <c r="G230" i="3" s="1"/>
  <c r="AB230" i="3" s="1"/>
  <c r="M229" i="3"/>
  <c r="O229" i="3" s="1"/>
  <c r="AC229" i="3" s="1"/>
  <c r="E229" i="3"/>
  <c r="G229" i="3" s="1"/>
  <c r="AB229" i="3" s="1"/>
  <c r="M228" i="3"/>
  <c r="O228" i="3" s="1"/>
  <c r="AC228" i="3" s="1"/>
  <c r="E228" i="3"/>
  <c r="G228" i="3" s="1"/>
  <c r="AB228" i="3" s="1"/>
  <c r="M227" i="3"/>
  <c r="O227" i="3" s="1"/>
  <c r="AC227" i="3" s="1"/>
  <c r="E227" i="3"/>
  <c r="G227" i="3" s="1"/>
  <c r="AB227" i="3" s="1"/>
  <c r="M226" i="3"/>
  <c r="O226" i="3" s="1"/>
  <c r="AC226" i="3" s="1"/>
  <c r="E226" i="3"/>
  <c r="G226" i="3" s="1"/>
  <c r="AB226" i="3" s="1"/>
  <c r="M225" i="3"/>
  <c r="O225" i="3" s="1"/>
  <c r="AC225" i="3" s="1"/>
  <c r="E225" i="3"/>
  <c r="G225" i="3" s="1"/>
  <c r="AB225" i="3" s="1"/>
  <c r="M224" i="3"/>
  <c r="O224" i="3" s="1"/>
  <c r="AC224" i="3" s="1"/>
  <c r="E224" i="3"/>
  <c r="G224" i="3" s="1"/>
  <c r="AB224" i="3" s="1"/>
  <c r="M223" i="3"/>
  <c r="O223" i="3" s="1"/>
  <c r="AC223" i="3" s="1"/>
  <c r="E223" i="3"/>
  <c r="G223" i="3" s="1"/>
  <c r="AB223" i="3" s="1"/>
  <c r="M222" i="3"/>
  <c r="O222" i="3" s="1"/>
  <c r="AC222" i="3" s="1"/>
  <c r="E222" i="3"/>
  <c r="G222" i="3" s="1"/>
  <c r="AB222" i="3" s="1"/>
  <c r="M221" i="3"/>
  <c r="O221" i="3" s="1"/>
  <c r="AC221" i="3" s="1"/>
  <c r="E221" i="3"/>
  <c r="G221" i="3" s="1"/>
  <c r="AB221" i="3" s="1"/>
  <c r="M220" i="3"/>
  <c r="O220" i="3" s="1"/>
  <c r="AC220" i="3" s="1"/>
  <c r="E220" i="3"/>
  <c r="G220" i="3" s="1"/>
  <c r="AB220" i="3" s="1"/>
  <c r="O219" i="3"/>
  <c r="AC219" i="3" s="1"/>
  <c r="M219" i="3"/>
  <c r="E219" i="3"/>
  <c r="G219" i="3" s="1"/>
  <c r="AB219" i="3" s="1"/>
  <c r="M218" i="3"/>
  <c r="O218" i="3" s="1"/>
  <c r="AC218" i="3" s="1"/>
  <c r="E218" i="3"/>
  <c r="G218" i="3" s="1"/>
  <c r="AB218" i="3" s="1"/>
  <c r="M217" i="3"/>
  <c r="O217" i="3" s="1"/>
  <c r="AC217" i="3" s="1"/>
  <c r="E217" i="3"/>
  <c r="G217" i="3" s="1"/>
  <c r="M216" i="3"/>
  <c r="O216" i="3" s="1"/>
  <c r="AC216" i="3" s="1"/>
  <c r="E216" i="3"/>
  <c r="G216" i="3" s="1"/>
  <c r="AB216" i="3" s="1"/>
  <c r="M215" i="3"/>
  <c r="O215" i="3" s="1"/>
  <c r="AC215" i="3" s="1"/>
  <c r="E215" i="3"/>
  <c r="G215" i="3" s="1"/>
  <c r="AB215" i="3" s="1"/>
  <c r="M214" i="3"/>
  <c r="O214" i="3" s="1"/>
  <c r="AC214" i="3" s="1"/>
  <c r="E214" i="3"/>
  <c r="G214" i="3" s="1"/>
  <c r="AB214" i="3" s="1"/>
  <c r="M213" i="3"/>
  <c r="O213" i="3" s="1"/>
  <c r="AC213" i="3" s="1"/>
  <c r="E213" i="3"/>
  <c r="G213" i="3" s="1"/>
  <c r="AB213" i="3" s="1"/>
  <c r="M212" i="3"/>
  <c r="O212" i="3" s="1"/>
  <c r="AC212" i="3" s="1"/>
  <c r="E212" i="3"/>
  <c r="G212" i="3" s="1"/>
  <c r="AB212" i="3" s="1"/>
  <c r="O211" i="3"/>
  <c r="AC211" i="3" s="1"/>
  <c r="M211" i="3"/>
  <c r="E211" i="3"/>
  <c r="G211" i="3" s="1"/>
  <c r="AB211" i="3" s="1"/>
  <c r="M210" i="3"/>
  <c r="O210" i="3" s="1"/>
  <c r="AC210" i="3" s="1"/>
  <c r="E210" i="3"/>
  <c r="G210" i="3" s="1"/>
  <c r="AB210" i="3" s="1"/>
  <c r="M209" i="3"/>
  <c r="O209" i="3" s="1"/>
  <c r="AC209" i="3" s="1"/>
  <c r="E209" i="3"/>
  <c r="G209" i="3" s="1"/>
  <c r="AB209" i="3" s="1"/>
  <c r="M208" i="3"/>
  <c r="O208" i="3" s="1"/>
  <c r="AC208" i="3" s="1"/>
  <c r="E208" i="3"/>
  <c r="G208" i="3" s="1"/>
  <c r="AB208" i="3" s="1"/>
  <c r="M207" i="3"/>
  <c r="O207" i="3" s="1"/>
  <c r="AC207" i="3" s="1"/>
  <c r="E207" i="3"/>
  <c r="G207" i="3" s="1"/>
  <c r="AB207" i="3" s="1"/>
  <c r="M206" i="3"/>
  <c r="O206" i="3" s="1"/>
  <c r="AC206" i="3" s="1"/>
  <c r="E206" i="3"/>
  <c r="G206" i="3" s="1"/>
  <c r="AB206" i="3" s="1"/>
  <c r="M205" i="3"/>
  <c r="O205" i="3" s="1"/>
  <c r="AC205" i="3" s="1"/>
  <c r="E205" i="3"/>
  <c r="G205" i="3" s="1"/>
  <c r="AB205" i="3" s="1"/>
  <c r="M204" i="3"/>
  <c r="O204" i="3" s="1"/>
  <c r="AC204" i="3" s="1"/>
  <c r="E204" i="3"/>
  <c r="G204" i="3" s="1"/>
  <c r="AB204" i="3" s="1"/>
  <c r="M203" i="3"/>
  <c r="O203" i="3" s="1"/>
  <c r="AC203" i="3" s="1"/>
  <c r="E203" i="3"/>
  <c r="G203" i="3" s="1"/>
  <c r="AB203" i="3" s="1"/>
  <c r="M202" i="3"/>
  <c r="O202" i="3" s="1"/>
  <c r="AC202" i="3" s="1"/>
  <c r="E202" i="3"/>
  <c r="G202" i="3" s="1"/>
  <c r="AB202" i="3" s="1"/>
  <c r="M201" i="3"/>
  <c r="O201" i="3" s="1"/>
  <c r="AC201" i="3" s="1"/>
  <c r="G201" i="3"/>
  <c r="AB201" i="3" s="1"/>
  <c r="E201" i="3"/>
  <c r="M200" i="3"/>
  <c r="O200" i="3" s="1"/>
  <c r="AC200" i="3" s="1"/>
  <c r="E200" i="3"/>
  <c r="G200" i="3" s="1"/>
  <c r="AB200" i="3" s="1"/>
  <c r="M199" i="3"/>
  <c r="O199" i="3" s="1"/>
  <c r="AC199" i="3" s="1"/>
  <c r="E199" i="3"/>
  <c r="G199" i="3" s="1"/>
  <c r="AB199" i="3" s="1"/>
  <c r="M198" i="3"/>
  <c r="O198" i="3" s="1"/>
  <c r="AC198" i="3" s="1"/>
  <c r="E198" i="3"/>
  <c r="G198" i="3" s="1"/>
  <c r="AB198" i="3" s="1"/>
  <c r="M197" i="3"/>
  <c r="O197" i="3" s="1"/>
  <c r="AC197" i="3" s="1"/>
  <c r="E197" i="3"/>
  <c r="G197" i="3" s="1"/>
  <c r="AB197" i="3" s="1"/>
  <c r="M196" i="3"/>
  <c r="O196" i="3" s="1"/>
  <c r="AC196" i="3" s="1"/>
  <c r="G196" i="3"/>
  <c r="AB196" i="3" s="1"/>
  <c r="E196" i="3"/>
  <c r="M195" i="3"/>
  <c r="O195" i="3" s="1"/>
  <c r="AC195" i="3" s="1"/>
  <c r="E195" i="3"/>
  <c r="G195" i="3" s="1"/>
  <c r="M194" i="3"/>
  <c r="O194" i="3" s="1"/>
  <c r="AC194" i="3" s="1"/>
  <c r="E194" i="3"/>
  <c r="G194" i="3" s="1"/>
  <c r="AB194" i="3" s="1"/>
  <c r="M193" i="3"/>
  <c r="O193" i="3" s="1"/>
  <c r="AC193" i="3" s="1"/>
  <c r="E193" i="3"/>
  <c r="G193" i="3" s="1"/>
  <c r="AB193" i="3" s="1"/>
  <c r="M192" i="3"/>
  <c r="O192" i="3" s="1"/>
  <c r="AC192" i="3" s="1"/>
  <c r="E192" i="3"/>
  <c r="G192" i="3" s="1"/>
  <c r="AB192" i="3" s="1"/>
  <c r="M191" i="3"/>
  <c r="O191" i="3" s="1"/>
  <c r="AC191" i="3" s="1"/>
  <c r="E191" i="3"/>
  <c r="G191" i="3" s="1"/>
  <c r="AB191" i="3" s="1"/>
  <c r="M190" i="3"/>
  <c r="O190" i="3" s="1"/>
  <c r="AC190" i="3" s="1"/>
  <c r="E190" i="3"/>
  <c r="G190" i="3" s="1"/>
  <c r="AB190" i="3" s="1"/>
  <c r="M189" i="3"/>
  <c r="O189" i="3" s="1"/>
  <c r="AC189" i="3" s="1"/>
  <c r="E189" i="3"/>
  <c r="G189" i="3" s="1"/>
  <c r="AB189" i="3" s="1"/>
  <c r="M188" i="3"/>
  <c r="O188" i="3" s="1"/>
  <c r="AC188" i="3" s="1"/>
  <c r="E188" i="3"/>
  <c r="G188" i="3" s="1"/>
  <c r="AB188" i="3" s="1"/>
  <c r="M187" i="3"/>
  <c r="O187" i="3" s="1"/>
  <c r="AC187" i="3" s="1"/>
  <c r="E187" i="3"/>
  <c r="G187" i="3" s="1"/>
  <c r="AB187" i="3" s="1"/>
  <c r="M186" i="3"/>
  <c r="O186" i="3" s="1"/>
  <c r="AC186" i="3" s="1"/>
  <c r="E186" i="3"/>
  <c r="G186" i="3" s="1"/>
  <c r="AB186" i="3" s="1"/>
  <c r="M185" i="3"/>
  <c r="O185" i="3" s="1"/>
  <c r="AC185" i="3" s="1"/>
  <c r="E185" i="3"/>
  <c r="G185" i="3" s="1"/>
  <c r="AB185" i="3" s="1"/>
  <c r="M184" i="3"/>
  <c r="O184" i="3" s="1"/>
  <c r="AC184" i="3" s="1"/>
  <c r="E184" i="3"/>
  <c r="G184" i="3" s="1"/>
  <c r="AB184" i="3" s="1"/>
  <c r="M183" i="3"/>
  <c r="O183" i="3" s="1"/>
  <c r="AC183" i="3" s="1"/>
  <c r="E183" i="3"/>
  <c r="G183" i="3" s="1"/>
  <c r="AB183" i="3" s="1"/>
  <c r="M182" i="3"/>
  <c r="O182" i="3" s="1"/>
  <c r="AC182" i="3" s="1"/>
  <c r="E182" i="3"/>
  <c r="G182" i="3" s="1"/>
  <c r="AB182" i="3" s="1"/>
  <c r="M181" i="3"/>
  <c r="O181" i="3" s="1"/>
  <c r="AC181" i="3" s="1"/>
  <c r="E181" i="3"/>
  <c r="G181" i="3" s="1"/>
  <c r="AB181" i="3" s="1"/>
  <c r="M180" i="3"/>
  <c r="O180" i="3" s="1"/>
  <c r="AC180" i="3" s="1"/>
  <c r="E180" i="3"/>
  <c r="G180" i="3" s="1"/>
  <c r="AB180" i="3" s="1"/>
  <c r="M179" i="3"/>
  <c r="O179" i="3" s="1"/>
  <c r="AC179" i="3" s="1"/>
  <c r="E179" i="3"/>
  <c r="G179" i="3" s="1"/>
  <c r="AB179" i="3" s="1"/>
  <c r="M178" i="3"/>
  <c r="O178" i="3" s="1"/>
  <c r="AC178" i="3" s="1"/>
  <c r="E178" i="3"/>
  <c r="G178" i="3" s="1"/>
  <c r="AB178" i="3" s="1"/>
  <c r="M177" i="3"/>
  <c r="O177" i="3" s="1"/>
  <c r="AC177" i="3" s="1"/>
  <c r="E177" i="3"/>
  <c r="G177" i="3" s="1"/>
  <c r="AB177" i="3" s="1"/>
  <c r="M176" i="3"/>
  <c r="O176" i="3" s="1"/>
  <c r="AC176" i="3" s="1"/>
  <c r="E176" i="3"/>
  <c r="G176" i="3" s="1"/>
  <c r="AB176" i="3" s="1"/>
  <c r="M175" i="3"/>
  <c r="O175" i="3" s="1"/>
  <c r="AC175" i="3" s="1"/>
  <c r="E175" i="3"/>
  <c r="G175" i="3" s="1"/>
  <c r="AB175" i="3" s="1"/>
  <c r="AB174" i="3"/>
  <c r="O174" i="3"/>
  <c r="AC174" i="3" s="1"/>
  <c r="M174" i="3"/>
  <c r="E174" i="3"/>
  <c r="G174" i="3" s="1"/>
  <c r="Y174" i="3" s="1"/>
  <c r="M173" i="3"/>
  <c r="O173" i="3" s="1"/>
  <c r="AC173" i="3" s="1"/>
  <c r="E173" i="3"/>
  <c r="G173" i="3" s="1"/>
  <c r="AB173" i="3" s="1"/>
  <c r="M172" i="3"/>
  <c r="O172" i="3" s="1"/>
  <c r="AC172" i="3" s="1"/>
  <c r="E172" i="3"/>
  <c r="G172" i="3" s="1"/>
  <c r="AB172" i="3" s="1"/>
  <c r="O171" i="3"/>
  <c r="AC171" i="3" s="1"/>
  <c r="M171" i="3"/>
  <c r="E171" i="3"/>
  <c r="G171" i="3" s="1"/>
  <c r="AB171" i="3" s="1"/>
  <c r="M170" i="3"/>
  <c r="O170" i="3" s="1"/>
  <c r="AC170" i="3" s="1"/>
  <c r="E170" i="3"/>
  <c r="G170" i="3" s="1"/>
  <c r="AB170" i="3" s="1"/>
  <c r="M169" i="3"/>
  <c r="O169" i="3" s="1"/>
  <c r="AC169" i="3" s="1"/>
  <c r="E169" i="3"/>
  <c r="G169" i="3" s="1"/>
  <c r="AB169" i="3" s="1"/>
  <c r="M168" i="3"/>
  <c r="O168" i="3" s="1"/>
  <c r="AC168" i="3" s="1"/>
  <c r="E168" i="3"/>
  <c r="G168" i="3" s="1"/>
  <c r="AB168" i="3" s="1"/>
  <c r="M167" i="3"/>
  <c r="O167" i="3" s="1"/>
  <c r="AC167" i="3" s="1"/>
  <c r="E167" i="3"/>
  <c r="G167" i="3" s="1"/>
  <c r="AB167" i="3" s="1"/>
  <c r="M166" i="3"/>
  <c r="O166" i="3" s="1"/>
  <c r="AC166" i="3" s="1"/>
  <c r="E166" i="3"/>
  <c r="G166" i="3" s="1"/>
  <c r="AB166" i="3" s="1"/>
  <c r="M165" i="3"/>
  <c r="O165" i="3" s="1"/>
  <c r="AC165" i="3" s="1"/>
  <c r="E165" i="3"/>
  <c r="G165" i="3" s="1"/>
  <c r="AB165" i="3" s="1"/>
  <c r="M164" i="3"/>
  <c r="O164" i="3" s="1"/>
  <c r="AC164" i="3" s="1"/>
  <c r="E164" i="3"/>
  <c r="G164" i="3" s="1"/>
  <c r="AB164" i="3" s="1"/>
  <c r="M163" i="3"/>
  <c r="O163" i="3" s="1"/>
  <c r="AC163" i="3" s="1"/>
  <c r="E163" i="3"/>
  <c r="G163" i="3" s="1"/>
  <c r="AB163" i="3" s="1"/>
  <c r="M162" i="3"/>
  <c r="O162" i="3" s="1"/>
  <c r="AC162" i="3" s="1"/>
  <c r="E162" i="3"/>
  <c r="G162" i="3" s="1"/>
  <c r="AB162" i="3" s="1"/>
  <c r="M161" i="3"/>
  <c r="O161" i="3" s="1"/>
  <c r="AC161" i="3" s="1"/>
  <c r="E161" i="3"/>
  <c r="G161" i="3" s="1"/>
  <c r="AB161" i="3" s="1"/>
  <c r="M160" i="3"/>
  <c r="O160" i="3" s="1"/>
  <c r="AC160" i="3" s="1"/>
  <c r="E160" i="3"/>
  <c r="G160" i="3" s="1"/>
  <c r="AB160" i="3" s="1"/>
  <c r="M159" i="3"/>
  <c r="O159" i="3" s="1"/>
  <c r="AC159" i="3" s="1"/>
  <c r="E159" i="3"/>
  <c r="G159" i="3" s="1"/>
  <c r="AB159" i="3" s="1"/>
  <c r="M158" i="3"/>
  <c r="O158" i="3" s="1"/>
  <c r="AC158" i="3" s="1"/>
  <c r="E158" i="3"/>
  <c r="G158" i="3" s="1"/>
  <c r="AB158" i="3" s="1"/>
  <c r="M157" i="3"/>
  <c r="O157" i="3" s="1"/>
  <c r="AC157" i="3" s="1"/>
  <c r="E157" i="3"/>
  <c r="G157" i="3" s="1"/>
  <c r="AB157" i="3" s="1"/>
  <c r="M156" i="3"/>
  <c r="O156" i="3" s="1"/>
  <c r="AC156" i="3" s="1"/>
  <c r="G156" i="3"/>
  <c r="AB156" i="3" s="1"/>
  <c r="E156" i="3"/>
  <c r="M155" i="3"/>
  <c r="O155" i="3" s="1"/>
  <c r="AC155" i="3" s="1"/>
  <c r="E155" i="3"/>
  <c r="G155" i="3" s="1"/>
  <c r="AB155" i="3" s="1"/>
  <c r="M154" i="3"/>
  <c r="O154" i="3" s="1"/>
  <c r="AC154" i="3" s="1"/>
  <c r="E154" i="3"/>
  <c r="G154" i="3" s="1"/>
  <c r="AB154" i="3" s="1"/>
  <c r="M153" i="3"/>
  <c r="O153" i="3" s="1"/>
  <c r="AC153" i="3" s="1"/>
  <c r="E153" i="3"/>
  <c r="G153" i="3" s="1"/>
  <c r="AB153" i="3" s="1"/>
  <c r="M152" i="3"/>
  <c r="O152" i="3" s="1"/>
  <c r="AC152" i="3" s="1"/>
  <c r="E152" i="3"/>
  <c r="G152" i="3" s="1"/>
  <c r="AB152" i="3" s="1"/>
  <c r="M151" i="3"/>
  <c r="O151" i="3" s="1"/>
  <c r="AC151" i="3" s="1"/>
  <c r="E151" i="3"/>
  <c r="G151" i="3" s="1"/>
  <c r="AB151" i="3" s="1"/>
  <c r="M150" i="3"/>
  <c r="O150" i="3" s="1"/>
  <c r="AC150" i="3" s="1"/>
  <c r="E150" i="3"/>
  <c r="G150" i="3" s="1"/>
  <c r="AB150" i="3" s="1"/>
  <c r="M149" i="3"/>
  <c r="O149" i="3" s="1"/>
  <c r="AC149" i="3" s="1"/>
  <c r="E149" i="3"/>
  <c r="G149" i="3" s="1"/>
  <c r="AB149" i="3" s="1"/>
  <c r="M148" i="3"/>
  <c r="O148" i="3" s="1"/>
  <c r="AC148" i="3" s="1"/>
  <c r="E148" i="3"/>
  <c r="G148" i="3" s="1"/>
  <c r="AB148" i="3" s="1"/>
  <c r="M147" i="3"/>
  <c r="O147" i="3" s="1"/>
  <c r="AC147" i="3" s="1"/>
  <c r="E147" i="3"/>
  <c r="G147" i="3" s="1"/>
  <c r="AB147" i="3" s="1"/>
  <c r="AB146" i="3"/>
  <c r="M146" i="3"/>
  <c r="O146" i="3" s="1"/>
  <c r="AC146" i="3" s="1"/>
  <c r="E146" i="3"/>
  <c r="G146" i="3" s="1"/>
  <c r="M145" i="3"/>
  <c r="O145" i="3" s="1"/>
  <c r="AC145" i="3" s="1"/>
  <c r="E145" i="3"/>
  <c r="G145" i="3" s="1"/>
  <c r="AB145" i="3" s="1"/>
  <c r="M144" i="3"/>
  <c r="O144" i="3" s="1"/>
  <c r="AC144" i="3" s="1"/>
  <c r="E144" i="3"/>
  <c r="G144" i="3" s="1"/>
  <c r="AB144" i="3" s="1"/>
  <c r="M143" i="3"/>
  <c r="O143" i="3" s="1"/>
  <c r="AC143" i="3" s="1"/>
  <c r="E143" i="3"/>
  <c r="G143" i="3" s="1"/>
  <c r="AB143" i="3" s="1"/>
  <c r="M142" i="3"/>
  <c r="O142" i="3" s="1"/>
  <c r="AC142" i="3" s="1"/>
  <c r="E142" i="3"/>
  <c r="G142" i="3" s="1"/>
  <c r="AB142" i="3" s="1"/>
  <c r="M141" i="3"/>
  <c r="O141" i="3" s="1"/>
  <c r="AC141" i="3" s="1"/>
  <c r="E141" i="3"/>
  <c r="G141" i="3" s="1"/>
  <c r="AB141" i="3" s="1"/>
  <c r="M140" i="3"/>
  <c r="O140" i="3" s="1"/>
  <c r="AC140" i="3" s="1"/>
  <c r="G140" i="3"/>
  <c r="AB140" i="3" s="1"/>
  <c r="E140" i="3"/>
  <c r="M139" i="3"/>
  <c r="O139" i="3" s="1"/>
  <c r="AC139" i="3" s="1"/>
  <c r="E139" i="3"/>
  <c r="G139" i="3" s="1"/>
  <c r="AB139" i="3" s="1"/>
  <c r="M138" i="3"/>
  <c r="O138" i="3" s="1"/>
  <c r="AC138" i="3" s="1"/>
  <c r="E138" i="3"/>
  <c r="G138" i="3" s="1"/>
  <c r="AB138" i="3" s="1"/>
  <c r="M137" i="3"/>
  <c r="O137" i="3" s="1"/>
  <c r="AC137" i="3" s="1"/>
  <c r="E137" i="3"/>
  <c r="G137" i="3" s="1"/>
  <c r="AB137" i="3" s="1"/>
  <c r="M136" i="3"/>
  <c r="O136" i="3" s="1"/>
  <c r="AC136" i="3" s="1"/>
  <c r="E136" i="3"/>
  <c r="G136" i="3" s="1"/>
  <c r="AB136" i="3" s="1"/>
  <c r="M135" i="3"/>
  <c r="O135" i="3" s="1"/>
  <c r="AC135" i="3" s="1"/>
  <c r="E135" i="3"/>
  <c r="G135" i="3" s="1"/>
  <c r="AB135" i="3" s="1"/>
  <c r="M134" i="3"/>
  <c r="O134" i="3" s="1"/>
  <c r="AC134" i="3" s="1"/>
  <c r="E134" i="3"/>
  <c r="G134" i="3" s="1"/>
  <c r="AB134" i="3" s="1"/>
  <c r="AB133" i="3"/>
  <c r="M133" i="3"/>
  <c r="O133" i="3" s="1"/>
  <c r="AC133" i="3" s="1"/>
  <c r="E133" i="3"/>
  <c r="G133" i="3" s="1"/>
  <c r="M132" i="3"/>
  <c r="O132" i="3" s="1"/>
  <c r="AC132" i="3" s="1"/>
  <c r="E132" i="3"/>
  <c r="G132" i="3" s="1"/>
  <c r="AB132" i="3" s="1"/>
  <c r="M131" i="3"/>
  <c r="O131" i="3" s="1"/>
  <c r="AC131" i="3" s="1"/>
  <c r="E131" i="3"/>
  <c r="G131" i="3" s="1"/>
  <c r="AC130" i="3"/>
  <c r="M130" i="3"/>
  <c r="O130" i="3" s="1"/>
  <c r="E130" i="3"/>
  <c r="G130" i="3" s="1"/>
  <c r="AB130" i="3" s="1"/>
  <c r="M129" i="3"/>
  <c r="O129" i="3" s="1"/>
  <c r="AC129" i="3" s="1"/>
  <c r="E129" i="3"/>
  <c r="G129" i="3" s="1"/>
  <c r="AB129" i="3" s="1"/>
  <c r="M128" i="3"/>
  <c r="O128" i="3" s="1"/>
  <c r="AC128" i="3" s="1"/>
  <c r="G128" i="3"/>
  <c r="AB128" i="3" s="1"/>
  <c r="E128" i="3"/>
  <c r="M127" i="3"/>
  <c r="O127" i="3" s="1"/>
  <c r="AC127" i="3" s="1"/>
  <c r="E127" i="3"/>
  <c r="G127" i="3" s="1"/>
  <c r="AB127" i="3" s="1"/>
  <c r="M126" i="3"/>
  <c r="O126" i="3" s="1"/>
  <c r="AC126" i="3" s="1"/>
  <c r="E126" i="3"/>
  <c r="G126" i="3" s="1"/>
  <c r="AB126" i="3" s="1"/>
  <c r="M125" i="3"/>
  <c r="O125" i="3" s="1"/>
  <c r="AC125" i="3" s="1"/>
  <c r="E125" i="3"/>
  <c r="G125" i="3" s="1"/>
  <c r="AB125" i="3" s="1"/>
  <c r="M124" i="3"/>
  <c r="O124" i="3" s="1"/>
  <c r="AC124" i="3" s="1"/>
  <c r="E124" i="3"/>
  <c r="G124" i="3" s="1"/>
  <c r="AB124" i="3" s="1"/>
  <c r="M123" i="3"/>
  <c r="O123" i="3" s="1"/>
  <c r="AC123" i="3" s="1"/>
  <c r="E123" i="3"/>
  <c r="G123" i="3" s="1"/>
  <c r="AB123" i="3" s="1"/>
  <c r="M122" i="3"/>
  <c r="O122" i="3" s="1"/>
  <c r="AC122" i="3" s="1"/>
  <c r="E122" i="3"/>
  <c r="G122" i="3" s="1"/>
  <c r="AB122" i="3" s="1"/>
  <c r="M121" i="3"/>
  <c r="O121" i="3" s="1"/>
  <c r="AC121" i="3" s="1"/>
  <c r="E121" i="3"/>
  <c r="G121" i="3" s="1"/>
  <c r="AB121" i="3" s="1"/>
  <c r="M120" i="3"/>
  <c r="O120" i="3" s="1"/>
  <c r="AC120" i="3" s="1"/>
  <c r="E120" i="3"/>
  <c r="G120" i="3" s="1"/>
  <c r="AB120" i="3" s="1"/>
  <c r="M119" i="3"/>
  <c r="O119" i="3" s="1"/>
  <c r="AC119" i="3" s="1"/>
  <c r="E119" i="3"/>
  <c r="G119" i="3" s="1"/>
  <c r="AB119" i="3" s="1"/>
  <c r="M118" i="3"/>
  <c r="O118" i="3" s="1"/>
  <c r="AC118" i="3" s="1"/>
  <c r="E118" i="3"/>
  <c r="G118" i="3" s="1"/>
  <c r="AB118" i="3" s="1"/>
  <c r="M117" i="3"/>
  <c r="O117" i="3" s="1"/>
  <c r="AC117" i="3" s="1"/>
  <c r="E117" i="3"/>
  <c r="G117" i="3" s="1"/>
  <c r="AB117" i="3" s="1"/>
  <c r="M116" i="3"/>
  <c r="O116" i="3" s="1"/>
  <c r="AC116" i="3" s="1"/>
  <c r="E116" i="3"/>
  <c r="G116" i="3" s="1"/>
  <c r="AB116" i="3" s="1"/>
  <c r="AB115" i="3"/>
  <c r="O115" i="3"/>
  <c r="AC115" i="3" s="1"/>
  <c r="M115" i="3"/>
  <c r="E115" i="3"/>
  <c r="G115" i="3" s="1"/>
  <c r="M114" i="3"/>
  <c r="O114" i="3" s="1"/>
  <c r="AC114" i="3" s="1"/>
  <c r="E114" i="3"/>
  <c r="G114" i="3" s="1"/>
  <c r="AB114" i="3" s="1"/>
  <c r="M113" i="3"/>
  <c r="O113" i="3" s="1"/>
  <c r="AC113" i="3" s="1"/>
  <c r="E113" i="3"/>
  <c r="G113" i="3" s="1"/>
  <c r="AB113" i="3" s="1"/>
  <c r="O112" i="3"/>
  <c r="AC112" i="3" s="1"/>
  <c r="M112" i="3"/>
  <c r="E112" i="3"/>
  <c r="G112" i="3" s="1"/>
  <c r="AB112" i="3" s="1"/>
  <c r="M111" i="3"/>
  <c r="O111" i="3" s="1"/>
  <c r="AC111" i="3" s="1"/>
  <c r="E111" i="3"/>
  <c r="G111" i="3" s="1"/>
  <c r="AB111" i="3" s="1"/>
  <c r="M110" i="3"/>
  <c r="O110" i="3" s="1"/>
  <c r="AC110" i="3" s="1"/>
  <c r="E110" i="3"/>
  <c r="G110" i="3" s="1"/>
  <c r="AB110" i="3" s="1"/>
  <c r="AB109" i="3"/>
  <c r="M109" i="3"/>
  <c r="O109" i="3" s="1"/>
  <c r="AC109" i="3" s="1"/>
  <c r="E109" i="3"/>
  <c r="G109" i="3" s="1"/>
  <c r="Y109" i="3" s="1"/>
  <c r="M108" i="3"/>
  <c r="O108" i="3" s="1"/>
  <c r="AC108" i="3" s="1"/>
  <c r="E108" i="3"/>
  <c r="G108" i="3" s="1"/>
  <c r="AB108" i="3" s="1"/>
  <c r="M107" i="3"/>
  <c r="O107" i="3" s="1"/>
  <c r="AC107" i="3" s="1"/>
  <c r="E107" i="3"/>
  <c r="G107" i="3" s="1"/>
  <c r="AB107" i="3" s="1"/>
  <c r="AB106" i="3"/>
  <c r="M106" i="3"/>
  <c r="O106" i="3" s="1"/>
  <c r="AC106" i="3" s="1"/>
  <c r="E106" i="3"/>
  <c r="G106" i="3" s="1"/>
  <c r="M105" i="3"/>
  <c r="O105" i="3" s="1"/>
  <c r="AC105" i="3" s="1"/>
  <c r="E105" i="3"/>
  <c r="G105" i="3" s="1"/>
  <c r="AB105" i="3" s="1"/>
  <c r="M104" i="3"/>
  <c r="O104" i="3" s="1"/>
  <c r="AC104" i="3" s="1"/>
  <c r="E104" i="3"/>
  <c r="G104" i="3" s="1"/>
  <c r="AB104" i="3" s="1"/>
  <c r="M103" i="3"/>
  <c r="O103" i="3" s="1"/>
  <c r="AC103" i="3" s="1"/>
  <c r="E103" i="3"/>
  <c r="G103" i="3" s="1"/>
  <c r="AB103" i="3" s="1"/>
  <c r="M102" i="3"/>
  <c r="O102" i="3" s="1"/>
  <c r="AC102" i="3" s="1"/>
  <c r="E102" i="3"/>
  <c r="G102" i="3" s="1"/>
  <c r="AB102" i="3" s="1"/>
  <c r="M101" i="3"/>
  <c r="O101" i="3" s="1"/>
  <c r="AC101" i="3" s="1"/>
  <c r="E101" i="3"/>
  <c r="G101" i="3" s="1"/>
  <c r="AB101" i="3" s="1"/>
  <c r="M100" i="3"/>
  <c r="O100" i="3" s="1"/>
  <c r="AC100" i="3" s="1"/>
  <c r="E100" i="3"/>
  <c r="G100" i="3" s="1"/>
  <c r="AB100" i="3" s="1"/>
  <c r="M99" i="3"/>
  <c r="O99" i="3" s="1"/>
  <c r="AC99" i="3" s="1"/>
  <c r="E99" i="3"/>
  <c r="G99" i="3" s="1"/>
  <c r="AB99" i="3" s="1"/>
  <c r="M98" i="3"/>
  <c r="O98" i="3" s="1"/>
  <c r="AC98" i="3" s="1"/>
  <c r="E98" i="3"/>
  <c r="G98" i="3" s="1"/>
  <c r="AB98" i="3" s="1"/>
  <c r="M97" i="3"/>
  <c r="O97" i="3" s="1"/>
  <c r="AC97" i="3" s="1"/>
  <c r="E97" i="3"/>
  <c r="G97" i="3" s="1"/>
  <c r="AB97" i="3" s="1"/>
  <c r="M96" i="3"/>
  <c r="O96" i="3" s="1"/>
  <c r="AC96" i="3" s="1"/>
  <c r="E96" i="3"/>
  <c r="G96" i="3" s="1"/>
  <c r="AB96" i="3" s="1"/>
  <c r="M95" i="3"/>
  <c r="O95" i="3" s="1"/>
  <c r="AC95" i="3" s="1"/>
  <c r="E95" i="3"/>
  <c r="G95" i="3" s="1"/>
  <c r="AB95" i="3" s="1"/>
  <c r="M94" i="3"/>
  <c r="O94" i="3" s="1"/>
  <c r="AC94" i="3" s="1"/>
  <c r="E94" i="3"/>
  <c r="G94" i="3" s="1"/>
  <c r="AB94" i="3" s="1"/>
  <c r="M93" i="3"/>
  <c r="O93" i="3" s="1"/>
  <c r="AC93" i="3" s="1"/>
  <c r="E93" i="3"/>
  <c r="G93" i="3" s="1"/>
  <c r="AB93" i="3" s="1"/>
  <c r="M92" i="3"/>
  <c r="O92" i="3" s="1"/>
  <c r="AC92" i="3" s="1"/>
  <c r="E92" i="3"/>
  <c r="G92" i="3" s="1"/>
  <c r="AB92" i="3" s="1"/>
  <c r="O91" i="3"/>
  <c r="AC91" i="3" s="1"/>
  <c r="M91" i="3"/>
  <c r="E91" i="3"/>
  <c r="G91" i="3" s="1"/>
  <c r="AB91" i="3" s="1"/>
  <c r="M90" i="3"/>
  <c r="O90" i="3" s="1"/>
  <c r="AC90" i="3" s="1"/>
  <c r="E90" i="3"/>
  <c r="G90" i="3" s="1"/>
  <c r="AB90" i="3" s="1"/>
  <c r="M89" i="3"/>
  <c r="O89" i="3" s="1"/>
  <c r="AC89" i="3" s="1"/>
  <c r="E89" i="3"/>
  <c r="G89" i="3" s="1"/>
  <c r="M88" i="3"/>
  <c r="O88" i="3" s="1"/>
  <c r="AC88" i="3" s="1"/>
  <c r="E88" i="3"/>
  <c r="G88" i="3" s="1"/>
  <c r="AB88" i="3" s="1"/>
  <c r="M87" i="3"/>
  <c r="O87" i="3" s="1"/>
  <c r="AC87" i="3" s="1"/>
  <c r="E87" i="3"/>
  <c r="G87" i="3" s="1"/>
  <c r="AB87" i="3" s="1"/>
  <c r="M86" i="3"/>
  <c r="O86" i="3" s="1"/>
  <c r="AC86" i="3" s="1"/>
  <c r="E86" i="3"/>
  <c r="G86" i="3" s="1"/>
  <c r="AB86" i="3" s="1"/>
  <c r="M85" i="3"/>
  <c r="O85" i="3" s="1"/>
  <c r="AC85" i="3" s="1"/>
  <c r="E85" i="3"/>
  <c r="G85" i="3" s="1"/>
  <c r="AB85" i="3" s="1"/>
  <c r="M84" i="3"/>
  <c r="O84" i="3" s="1"/>
  <c r="AC84" i="3" s="1"/>
  <c r="E84" i="3"/>
  <c r="G84" i="3" s="1"/>
  <c r="AB84" i="3" s="1"/>
  <c r="M83" i="3"/>
  <c r="O83" i="3" s="1"/>
  <c r="AC83" i="3" s="1"/>
  <c r="E83" i="3"/>
  <c r="G83" i="3" s="1"/>
  <c r="AB83" i="3" s="1"/>
  <c r="M82" i="3"/>
  <c r="O82" i="3" s="1"/>
  <c r="AC82" i="3" s="1"/>
  <c r="E82" i="3"/>
  <c r="G82" i="3" s="1"/>
  <c r="AB82" i="3" s="1"/>
  <c r="M81" i="3"/>
  <c r="O81" i="3" s="1"/>
  <c r="AC81" i="3" s="1"/>
  <c r="E81" i="3"/>
  <c r="G81" i="3" s="1"/>
  <c r="AB81" i="3" s="1"/>
  <c r="M80" i="3"/>
  <c r="O80" i="3" s="1"/>
  <c r="AC80" i="3" s="1"/>
  <c r="E80" i="3"/>
  <c r="G80" i="3" s="1"/>
  <c r="AB80" i="3" s="1"/>
  <c r="M79" i="3"/>
  <c r="O79" i="3" s="1"/>
  <c r="AC79" i="3" s="1"/>
  <c r="E79" i="3"/>
  <c r="G79" i="3" s="1"/>
  <c r="AB79" i="3" s="1"/>
  <c r="M78" i="3"/>
  <c r="O78" i="3" s="1"/>
  <c r="AC78" i="3" s="1"/>
  <c r="E78" i="3"/>
  <c r="G78" i="3" s="1"/>
  <c r="AB78" i="3" s="1"/>
  <c r="O77" i="3"/>
  <c r="AC77" i="3" s="1"/>
  <c r="M77" i="3"/>
  <c r="E77" i="3"/>
  <c r="G77" i="3" s="1"/>
  <c r="AB77" i="3" s="1"/>
  <c r="M76" i="3"/>
  <c r="O76" i="3" s="1"/>
  <c r="AC76" i="3" s="1"/>
  <c r="E76" i="3"/>
  <c r="G76" i="3" s="1"/>
  <c r="AB76" i="3" s="1"/>
  <c r="M75" i="3"/>
  <c r="O75" i="3" s="1"/>
  <c r="AC75" i="3" s="1"/>
  <c r="G75" i="3"/>
  <c r="AB75" i="3" s="1"/>
  <c r="E75" i="3"/>
  <c r="M74" i="3"/>
  <c r="O74" i="3" s="1"/>
  <c r="AC74" i="3" s="1"/>
  <c r="E74" i="3"/>
  <c r="G74" i="3" s="1"/>
  <c r="AB74" i="3" s="1"/>
  <c r="M73" i="3"/>
  <c r="O73" i="3" s="1"/>
  <c r="AC73" i="3" s="1"/>
  <c r="E73" i="3"/>
  <c r="G73" i="3" s="1"/>
  <c r="AB73" i="3" s="1"/>
  <c r="M72" i="3"/>
  <c r="O72" i="3" s="1"/>
  <c r="AC72" i="3" s="1"/>
  <c r="E72" i="3"/>
  <c r="G72" i="3" s="1"/>
  <c r="AB72" i="3" s="1"/>
  <c r="M71" i="3"/>
  <c r="O71" i="3" s="1"/>
  <c r="AC71" i="3" s="1"/>
  <c r="E71" i="3"/>
  <c r="G71" i="3" s="1"/>
  <c r="AB71" i="3" s="1"/>
  <c r="M70" i="3"/>
  <c r="O70" i="3" s="1"/>
  <c r="AC70" i="3" s="1"/>
  <c r="E70" i="3"/>
  <c r="G70" i="3" s="1"/>
  <c r="AB70" i="3" s="1"/>
  <c r="M69" i="3"/>
  <c r="O69" i="3" s="1"/>
  <c r="AC69" i="3" s="1"/>
  <c r="E69" i="3"/>
  <c r="G69" i="3" s="1"/>
  <c r="AB69" i="3" s="1"/>
  <c r="M68" i="3"/>
  <c r="O68" i="3" s="1"/>
  <c r="AC68" i="3" s="1"/>
  <c r="E68" i="3"/>
  <c r="G68" i="3" s="1"/>
  <c r="M67" i="3"/>
  <c r="O67" i="3" s="1"/>
  <c r="AC67" i="3" s="1"/>
  <c r="E67" i="3"/>
  <c r="G67" i="3" s="1"/>
  <c r="AB67" i="3" s="1"/>
  <c r="M66" i="3"/>
  <c r="O66" i="3" s="1"/>
  <c r="AC66" i="3" s="1"/>
  <c r="E66" i="3"/>
  <c r="G66" i="3" s="1"/>
  <c r="AB66" i="3" s="1"/>
  <c r="M65" i="3"/>
  <c r="O65" i="3" s="1"/>
  <c r="AC65" i="3" s="1"/>
  <c r="E65" i="3"/>
  <c r="G65" i="3" s="1"/>
  <c r="AB65" i="3" s="1"/>
  <c r="M64" i="3"/>
  <c r="O64" i="3" s="1"/>
  <c r="AC64" i="3" s="1"/>
  <c r="E64" i="3"/>
  <c r="G64" i="3" s="1"/>
  <c r="AB64" i="3" s="1"/>
  <c r="M63" i="3"/>
  <c r="O63" i="3" s="1"/>
  <c r="AC63" i="3" s="1"/>
  <c r="E63" i="3"/>
  <c r="G63" i="3" s="1"/>
  <c r="AB63" i="3" s="1"/>
  <c r="M62" i="3"/>
  <c r="O62" i="3" s="1"/>
  <c r="AC62" i="3" s="1"/>
  <c r="E62" i="3"/>
  <c r="G62" i="3" s="1"/>
  <c r="AB62" i="3" s="1"/>
  <c r="M61" i="3"/>
  <c r="O61" i="3" s="1"/>
  <c r="AC61" i="3" s="1"/>
  <c r="E61" i="3"/>
  <c r="G61" i="3" s="1"/>
  <c r="AB61" i="3" s="1"/>
  <c r="M60" i="3"/>
  <c r="O60" i="3" s="1"/>
  <c r="AC60" i="3" s="1"/>
  <c r="E60" i="3"/>
  <c r="G60" i="3" s="1"/>
  <c r="AB60" i="3" s="1"/>
  <c r="M59" i="3"/>
  <c r="O59" i="3" s="1"/>
  <c r="AC59" i="3" s="1"/>
  <c r="E59" i="3"/>
  <c r="G59" i="3" s="1"/>
  <c r="AB59" i="3" s="1"/>
  <c r="O58" i="3"/>
  <c r="AC58" i="3" s="1"/>
  <c r="M58" i="3"/>
  <c r="E58" i="3"/>
  <c r="G58" i="3" s="1"/>
  <c r="AB58" i="3" s="1"/>
  <c r="M57" i="3"/>
  <c r="O57" i="3" s="1"/>
  <c r="AC57" i="3" s="1"/>
  <c r="E57" i="3"/>
  <c r="G57" i="3" s="1"/>
  <c r="AB57" i="3" s="1"/>
  <c r="M56" i="3"/>
  <c r="O56" i="3" s="1"/>
  <c r="AC56" i="3" s="1"/>
  <c r="E56" i="3"/>
  <c r="G56" i="3" s="1"/>
  <c r="AB56" i="3" s="1"/>
  <c r="M55" i="3"/>
  <c r="O55" i="3" s="1"/>
  <c r="AC55" i="3" s="1"/>
  <c r="E55" i="3"/>
  <c r="G55" i="3" s="1"/>
  <c r="AB55" i="3" s="1"/>
  <c r="O54" i="3"/>
  <c r="AC54" i="3" s="1"/>
  <c r="M54" i="3"/>
  <c r="E54" i="3"/>
  <c r="G54" i="3" s="1"/>
  <c r="AB54" i="3" s="1"/>
  <c r="M53" i="3"/>
  <c r="O53" i="3" s="1"/>
  <c r="AC53" i="3" s="1"/>
  <c r="E53" i="3"/>
  <c r="G53" i="3" s="1"/>
  <c r="AB53" i="3" s="1"/>
  <c r="M52" i="3"/>
  <c r="O52" i="3" s="1"/>
  <c r="AC52" i="3" s="1"/>
  <c r="E52" i="3"/>
  <c r="G52" i="3" s="1"/>
  <c r="AB52" i="3" s="1"/>
  <c r="M51" i="3"/>
  <c r="O51" i="3" s="1"/>
  <c r="AC51" i="3" s="1"/>
  <c r="E51" i="3"/>
  <c r="G51" i="3" s="1"/>
  <c r="AB51" i="3" s="1"/>
  <c r="M50" i="3"/>
  <c r="O50" i="3" s="1"/>
  <c r="AC50" i="3" s="1"/>
  <c r="G50" i="3"/>
  <c r="AB50" i="3" s="1"/>
  <c r="E50" i="3"/>
  <c r="M49" i="3"/>
  <c r="O49" i="3" s="1"/>
  <c r="AC49" i="3" s="1"/>
  <c r="E49" i="3"/>
  <c r="G49" i="3" s="1"/>
  <c r="AB49" i="3" s="1"/>
  <c r="M48" i="3"/>
  <c r="O48" i="3" s="1"/>
  <c r="AC48" i="3" s="1"/>
  <c r="E48" i="3"/>
  <c r="G48" i="3" s="1"/>
  <c r="AB48" i="3" s="1"/>
  <c r="M47" i="3"/>
  <c r="O47" i="3" s="1"/>
  <c r="AC47" i="3" s="1"/>
  <c r="E47" i="3"/>
  <c r="G47" i="3" s="1"/>
  <c r="AB47" i="3" s="1"/>
  <c r="M46" i="3"/>
  <c r="O46" i="3" s="1"/>
  <c r="AC46" i="3" s="1"/>
  <c r="E46" i="3"/>
  <c r="G46" i="3" s="1"/>
  <c r="M45" i="3"/>
  <c r="O45" i="3" s="1"/>
  <c r="AC45" i="3" s="1"/>
  <c r="E45" i="3"/>
  <c r="G45" i="3" s="1"/>
  <c r="AB45" i="3" s="1"/>
  <c r="M44" i="3"/>
  <c r="O44" i="3" s="1"/>
  <c r="AC44" i="3" s="1"/>
  <c r="E44" i="3"/>
  <c r="G44" i="3" s="1"/>
  <c r="AB44" i="3" s="1"/>
  <c r="M43" i="3"/>
  <c r="O43" i="3" s="1"/>
  <c r="AC43" i="3" s="1"/>
  <c r="E43" i="3"/>
  <c r="G43" i="3" s="1"/>
  <c r="AB43" i="3" s="1"/>
  <c r="M42" i="3"/>
  <c r="O42" i="3" s="1"/>
  <c r="AC42" i="3" s="1"/>
  <c r="E42" i="3"/>
  <c r="G42" i="3" s="1"/>
  <c r="AB42" i="3" s="1"/>
  <c r="M41" i="3"/>
  <c r="O41" i="3" s="1"/>
  <c r="AC41" i="3" s="1"/>
  <c r="E41" i="3"/>
  <c r="G41" i="3" s="1"/>
  <c r="AB41" i="3" s="1"/>
  <c r="M40" i="3"/>
  <c r="O40" i="3" s="1"/>
  <c r="AC40" i="3" s="1"/>
  <c r="E40" i="3"/>
  <c r="G40" i="3" s="1"/>
  <c r="AB40" i="3" s="1"/>
  <c r="M39" i="3"/>
  <c r="O39" i="3" s="1"/>
  <c r="AC39" i="3" s="1"/>
  <c r="E39" i="3"/>
  <c r="G39" i="3" s="1"/>
  <c r="AB39" i="3" s="1"/>
  <c r="M38" i="3"/>
  <c r="O38" i="3" s="1"/>
  <c r="AC38" i="3" s="1"/>
  <c r="E38" i="3"/>
  <c r="G38" i="3" s="1"/>
  <c r="AB38" i="3" s="1"/>
  <c r="M37" i="3"/>
  <c r="O37" i="3" s="1"/>
  <c r="AC37" i="3" s="1"/>
  <c r="E37" i="3"/>
  <c r="G37" i="3" s="1"/>
  <c r="AB37" i="3" s="1"/>
  <c r="M36" i="3"/>
  <c r="O36" i="3" s="1"/>
  <c r="AC36" i="3" s="1"/>
  <c r="E36" i="3"/>
  <c r="G36" i="3" s="1"/>
  <c r="AB36" i="3" s="1"/>
  <c r="M35" i="3"/>
  <c r="O35" i="3" s="1"/>
  <c r="AC35" i="3" s="1"/>
  <c r="E35" i="3"/>
  <c r="G35" i="3" s="1"/>
  <c r="AB35" i="3" s="1"/>
  <c r="M34" i="3"/>
  <c r="O34" i="3" s="1"/>
  <c r="AC34" i="3" s="1"/>
  <c r="E34" i="3"/>
  <c r="G34" i="3" s="1"/>
  <c r="AB34" i="3" s="1"/>
  <c r="M33" i="3"/>
  <c r="O33" i="3" s="1"/>
  <c r="AC33" i="3" s="1"/>
  <c r="E33" i="3"/>
  <c r="G33" i="3" s="1"/>
  <c r="AB33" i="3" s="1"/>
  <c r="M32" i="3"/>
  <c r="O32" i="3" s="1"/>
  <c r="AC32" i="3" s="1"/>
  <c r="E32" i="3"/>
  <c r="G32" i="3" s="1"/>
  <c r="AB32" i="3" s="1"/>
  <c r="M31" i="3"/>
  <c r="O31" i="3" s="1"/>
  <c r="AC31" i="3" s="1"/>
  <c r="G31" i="3"/>
  <c r="AB31" i="3" s="1"/>
  <c r="E31" i="3"/>
  <c r="M30" i="3"/>
  <c r="O30" i="3" s="1"/>
  <c r="AC30" i="3" s="1"/>
  <c r="E30" i="3"/>
  <c r="G30" i="3" s="1"/>
  <c r="AB30" i="3" s="1"/>
  <c r="M29" i="3"/>
  <c r="O29" i="3" s="1"/>
  <c r="AC29" i="3" s="1"/>
  <c r="E29" i="3"/>
  <c r="G29" i="3" s="1"/>
  <c r="AB29" i="3" s="1"/>
  <c r="M28" i="3"/>
  <c r="O28" i="3" s="1"/>
  <c r="AC28" i="3" s="1"/>
  <c r="E28" i="3"/>
  <c r="G28" i="3" s="1"/>
  <c r="AB28" i="3" s="1"/>
  <c r="M27" i="3"/>
  <c r="O27" i="3" s="1"/>
  <c r="AC27" i="3" s="1"/>
  <c r="E27" i="3"/>
  <c r="G27" i="3" s="1"/>
  <c r="AB27" i="3" s="1"/>
  <c r="M26" i="3"/>
  <c r="O26" i="3" s="1"/>
  <c r="AC26" i="3" s="1"/>
  <c r="E26" i="3"/>
  <c r="G26" i="3" s="1"/>
  <c r="AB26" i="3" s="1"/>
  <c r="M25" i="3"/>
  <c r="O25" i="3" s="1"/>
  <c r="AC25" i="3" s="1"/>
  <c r="E25" i="3"/>
  <c r="G25" i="3" s="1"/>
  <c r="AB25" i="3" s="1"/>
  <c r="M24" i="3"/>
  <c r="O24" i="3" s="1"/>
  <c r="AC24" i="3" s="1"/>
  <c r="E24" i="3"/>
  <c r="G24" i="3" s="1"/>
  <c r="AB24" i="3" s="1"/>
  <c r="M23" i="3"/>
  <c r="O23" i="3" s="1"/>
  <c r="AC23" i="3" s="1"/>
  <c r="E23" i="3"/>
  <c r="G23" i="3" s="1"/>
  <c r="AB23" i="3" s="1"/>
  <c r="M22" i="3"/>
  <c r="O22" i="3" s="1"/>
  <c r="AC22" i="3" s="1"/>
  <c r="E22" i="3"/>
  <c r="G22" i="3" s="1"/>
  <c r="AB22" i="3" s="1"/>
  <c r="M21" i="3"/>
  <c r="O21" i="3" s="1"/>
  <c r="AC21" i="3" s="1"/>
  <c r="E21" i="3"/>
  <c r="G21" i="3" s="1"/>
  <c r="AB21" i="3" s="1"/>
  <c r="M20" i="3"/>
  <c r="O20" i="3" s="1"/>
  <c r="AC20" i="3" s="1"/>
  <c r="E20" i="3"/>
  <c r="G20" i="3" s="1"/>
  <c r="AB20" i="3" s="1"/>
  <c r="M19" i="3"/>
  <c r="O19" i="3" s="1"/>
  <c r="AC19" i="3" s="1"/>
  <c r="E19" i="3"/>
  <c r="G19" i="3" s="1"/>
  <c r="AB19" i="3" s="1"/>
  <c r="M18" i="3"/>
  <c r="O18" i="3" s="1"/>
  <c r="AC18" i="3" s="1"/>
  <c r="E18" i="3"/>
  <c r="G18" i="3" s="1"/>
  <c r="AB18" i="3" s="1"/>
  <c r="M17" i="3"/>
  <c r="O17" i="3" s="1"/>
  <c r="AC17" i="3" s="1"/>
  <c r="E17" i="3"/>
  <c r="G17" i="3" s="1"/>
  <c r="AB17" i="3" s="1"/>
  <c r="M16" i="3"/>
  <c r="O16" i="3" s="1"/>
  <c r="AC16" i="3" s="1"/>
  <c r="E16" i="3"/>
  <c r="G16" i="3" s="1"/>
  <c r="AB16" i="3" s="1"/>
  <c r="M15" i="3"/>
  <c r="O15" i="3" s="1"/>
  <c r="AC15" i="3" s="1"/>
  <c r="E15" i="3"/>
  <c r="G15" i="3" s="1"/>
  <c r="AB15" i="3" s="1"/>
  <c r="M14" i="3"/>
  <c r="O14" i="3" s="1"/>
  <c r="AC14" i="3" s="1"/>
  <c r="E14" i="3"/>
  <c r="G14" i="3" s="1"/>
  <c r="AB14" i="3" s="1"/>
  <c r="M13" i="3"/>
  <c r="O13" i="3" s="1"/>
  <c r="AC13" i="3" s="1"/>
  <c r="E13" i="3"/>
  <c r="G13" i="3" s="1"/>
  <c r="AB13" i="3" s="1"/>
  <c r="M12" i="3"/>
  <c r="O12" i="3" s="1"/>
  <c r="AC12" i="3" s="1"/>
  <c r="E12" i="3"/>
  <c r="G12" i="3" s="1"/>
  <c r="AB12" i="3" s="1"/>
  <c r="M11" i="3"/>
  <c r="O11" i="3" s="1"/>
  <c r="AC11" i="3" s="1"/>
  <c r="E11" i="3"/>
  <c r="G11" i="3" s="1"/>
  <c r="AB11" i="3" s="1"/>
  <c r="M10" i="3"/>
  <c r="O10" i="3" s="1"/>
  <c r="AC10" i="3" s="1"/>
  <c r="E10" i="3"/>
  <c r="G10" i="3" s="1"/>
  <c r="AB10" i="3" s="1"/>
  <c r="M9" i="3"/>
  <c r="O9" i="3" s="1"/>
  <c r="AC9" i="3" s="1"/>
  <c r="G9" i="3"/>
  <c r="AB9" i="3" s="1"/>
  <c r="E9" i="3"/>
  <c r="M8" i="3"/>
  <c r="O8" i="3" s="1"/>
  <c r="E8" i="3"/>
  <c r="G8" i="3" s="1"/>
  <c r="AB8" i="3" s="1"/>
  <c r="M7" i="3"/>
  <c r="O7" i="3" s="1"/>
  <c r="E7" i="3"/>
  <c r="G7" i="3" s="1"/>
  <c r="M6" i="3"/>
  <c r="E6" i="3"/>
  <c r="F6" i="3" s="1"/>
  <c r="R5" i="3"/>
  <c r="W5" i="3" s="1"/>
  <c r="P5" i="2"/>
  <c r="L257" i="2"/>
  <c r="N257" i="2" s="1"/>
  <c r="Z257" i="2" s="1"/>
  <c r="L256" i="2"/>
  <c r="N256" i="2" s="1"/>
  <c r="Z256" i="2" s="1"/>
  <c r="L255" i="2"/>
  <c r="N255" i="2" s="1"/>
  <c r="Z255" i="2" s="1"/>
  <c r="L254" i="2"/>
  <c r="N254" i="2" s="1"/>
  <c r="Z254" i="2" s="1"/>
  <c r="L253" i="2"/>
  <c r="N253" i="2" s="1"/>
  <c r="Z253" i="2" s="1"/>
  <c r="L252" i="2"/>
  <c r="N252" i="2" s="1"/>
  <c r="Z252" i="2" s="1"/>
  <c r="L251" i="2"/>
  <c r="N251" i="2" s="1"/>
  <c r="Z251" i="2" s="1"/>
  <c r="L250" i="2"/>
  <c r="N250" i="2" s="1"/>
  <c r="Z250" i="2" s="1"/>
  <c r="L249" i="2"/>
  <c r="N249" i="2" s="1"/>
  <c r="Z249" i="2" s="1"/>
  <c r="L248" i="2"/>
  <c r="N248" i="2" s="1"/>
  <c r="Z248" i="2" s="1"/>
  <c r="L247" i="2"/>
  <c r="N247" i="2" s="1"/>
  <c r="Z247" i="2" s="1"/>
  <c r="L246" i="2"/>
  <c r="N246" i="2" s="1"/>
  <c r="Z246" i="2" s="1"/>
  <c r="L245" i="2"/>
  <c r="N245" i="2" s="1"/>
  <c r="Z245" i="2" s="1"/>
  <c r="L244" i="2"/>
  <c r="N244" i="2" s="1"/>
  <c r="Z244" i="2" s="1"/>
  <c r="L243" i="2"/>
  <c r="N243" i="2" s="1"/>
  <c r="Z243" i="2" s="1"/>
  <c r="L242" i="2"/>
  <c r="N242" i="2" s="1"/>
  <c r="Z242" i="2" s="1"/>
  <c r="L241" i="2"/>
  <c r="N241" i="2" s="1"/>
  <c r="Z241" i="2" s="1"/>
  <c r="L240" i="2"/>
  <c r="N240" i="2" s="1"/>
  <c r="Z240" i="2" s="1"/>
  <c r="L239" i="2"/>
  <c r="N239" i="2" s="1"/>
  <c r="Z239" i="2" s="1"/>
  <c r="L238" i="2"/>
  <c r="N238" i="2" s="1"/>
  <c r="Z238" i="2" s="1"/>
  <c r="L237" i="2"/>
  <c r="N237" i="2" s="1"/>
  <c r="Z237" i="2" s="1"/>
  <c r="L236" i="2"/>
  <c r="N236" i="2" s="1"/>
  <c r="Z236" i="2" s="1"/>
  <c r="L235" i="2"/>
  <c r="N235" i="2" s="1"/>
  <c r="Z235" i="2" s="1"/>
  <c r="L234" i="2"/>
  <c r="N234" i="2" s="1"/>
  <c r="Z234" i="2" s="1"/>
  <c r="L233" i="2"/>
  <c r="N233" i="2" s="1"/>
  <c r="Z233" i="2" s="1"/>
  <c r="L232" i="2"/>
  <c r="N232" i="2" s="1"/>
  <c r="Z232" i="2" s="1"/>
  <c r="L231" i="2"/>
  <c r="N231" i="2" s="1"/>
  <c r="Z231" i="2" s="1"/>
  <c r="L230" i="2"/>
  <c r="N230" i="2" s="1"/>
  <c r="Z230" i="2" s="1"/>
  <c r="L229" i="2"/>
  <c r="N229" i="2" s="1"/>
  <c r="Z229" i="2" s="1"/>
  <c r="L228" i="2"/>
  <c r="N228" i="2" s="1"/>
  <c r="Z228" i="2" s="1"/>
  <c r="L227" i="2"/>
  <c r="N227" i="2" s="1"/>
  <c r="Z227" i="2" s="1"/>
  <c r="L226" i="2"/>
  <c r="N226" i="2" s="1"/>
  <c r="Z226" i="2" s="1"/>
  <c r="L225" i="2"/>
  <c r="N225" i="2" s="1"/>
  <c r="Z225" i="2" s="1"/>
  <c r="L224" i="2"/>
  <c r="N224" i="2" s="1"/>
  <c r="Z224" i="2" s="1"/>
  <c r="L223" i="2"/>
  <c r="N223" i="2" s="1"/>
  <c r="Z223" i="2" s="1"/>
  <c r="L222" i="2"/>
  <c r="N222" i="2" s="1"/>
  <c r="Z222" i="2" s="1"/>
  <c r="L221" i="2"/>
  <c r="N221" i="2" s="1"/>
  <c r="Z221" i="2" s="1"/>
  <c r="L220" i="2"/>
  <c r="N220" i="2" s="1"/>
  <c r="Z220" i="2" s="1"/>
  <c r="L219" i="2"/>
  <c r="N219" i="2" s="1"/>
  <c r="Z219" i="2" s="1"/>
  <c r="L218" i="2"/>
  <c r="N218" i="2" s="1"/>
  <c r="Z218" i="2" s="1"/>
  <c r="L217" i="2"/>
  <c r="N217" i="2" s="1"/>
  <c r="Z217" i="2" s="1"/>
  <c r="L216" i="2"/>
  <c r="N216" i="2" s="1"/>
  <c r="Z216" i="2" s="1"/>
  <c r="L215" i="2"/>
  <c r="N215" i="2" s="1"/>
  <c r="Z215" i="2" s="1"/>
  <c r="L214" i="2"/>
  <c r="N214" i="2" s="1"/>
  <c r="Z214" i="2" s="1"/>
  <c r="L213" i="2"/>
  <c r="N213" i="2" s="1"/>
  <c r="Z213" i="2" s="1"/>
  <c r="L212" i="2"/>
  <c r="N212" i="2" s="1"/>
  <c r="Z212" i="2" s="1"/>
  <c r="L211" i="2"/>
  <c r="N211" i="2" s="1"/>
  <c r="Z211" i="2" s="1"/>
  <c r="L210" i="2"/>
  <c r="N210" i="2" s="1"/>
  <c r="Z210" i="2" s="1"/>
  <c r="L209" i="2"/>
  <c r="N209" i="2" s="1"/>
  <c r="Z209" i="2" s="1"/>
  <c r="L208" i="2"/>
  <c r="N208" i="2" s="1"/>
  <c r="Z208" i="2" s="1"/>
  <c r="L207" i="2"/>
  <c r="N207" i="2" s="1"/>
  <c r="Z207" i="2" s="1"/>
  <c r="L206" i="2"/>
  <c r="N206" i="2" s="1"/>
  <c r="Z206" i="2" s="1"/>
  <c r="L205" i="2"/>
  <c r="N205" i="2" s="1"/>
  <c r="Z205" i="2" s="1"/>
  <c r="L204" i="2"/>
  <c r="N204" i="2" s="1"/>
  <c r="Z204" i="2" s="1"/>
  <c r="L203" i="2"/>
  <c r="N203" i="2" s="1"/>
  <c r="Z203" i="2" s="1"/>
  <c r="L202" i="2"/>
  <c r="N202" i="2" s="1"/>
  <c r="Z202" i="2" s="1"/>
  <c r="L201" i="2"/>
  <c r="N201" i="2" s="1"/>
  <c r="Z201" i="2" s="1"/>
  <c r="L200" i="2"/>
  <c r="N200" i="2" s="1"/>
  <c r="Z200" i="2" s="1"/>
  <c r="L199" i="2"/>
  <c r="N199" i="2" s="1"/>
  <c r="Z199" i="2" s="1"/>
  <c r="L198" i="2"/>
  <c r="N198" i="2" s="1"/>
  <c r="Z198" i="2" s="1"/>
  <c r="L197" i="2"/>
  <c r="N197" i="2" s="1"/>
  <c r="Z197" i="2" s="1"/>
  <c r="L196" i="2"/>
  <c r="N196" i="2" s="1"/>
  <c r="Z196" i="2" s="1"/>
  <c r="L195" i="2"/>
  <c r="N195" i="2" s="1"/>
  <c r="Z195" i="2" s="1"/>
  <c r="L194" i="2"/>
  <c r="N194" i="2" s="1"/>
  <c r="Z194" i="2" s="1"/>
  <c r="L193" i="2"/>
  <c r="N193" i="2" s="1"/>
  <c r="Z193" i="2" s="1"/>
  <c r="L192" i="2"/>
  <c r="N192" i="2" s="1"/>
  <c r="Z192" i="2" s="1"/>
  <c r="L191" i="2"/>
  <c r="N191" i="2" s="1"/>
  <c r="Z191" i="2" s="1"/>
  <c r="L190" i="2"/>
  <c r="N190" i="2" s="1"/>
  <c r="Z190" i="2" s="1"/>
  <c r="L189" i="2"/>
  <c r="N189" i="2" s="1"/>
  <c r="Z189" i="2" s="1"/>
  <c r="L188" i="2"/>
  <c r="N188" i="2" s="1"/>
  <c r="Z188" i="2" s="1"/>
  <c r="L187" i="2"/>
  <c r="N187" i="2" s="1"/>
  <c r="Z187" i="2" s="1"/>
  <c r="L186" i="2"/>
  <c r="N186" i="2" s="1"/>
  <c r="Z186" i="2" s="1"/>
  <c r="L185" i="2"/>
  <c r="N185" i="2" s="1"/>
  <c r="Z185" i="2" s="1"/>
  <c r="L184" i="2"/>
  <c r="N184" i="2" s="1"/>
  <c r="Z184" i="2" s="1"/>
  <c r="L183" i="2"/>
  <c r="N183" i="2" s="1"/>
  <c r="Z183" i="2" s="1"/>
  <c r="L182" i="2"/>
  <c r="N182" i="2" s="1"/>
  <c r="Z182" i="2" s="1"/>
  <c r="L181" i="2"/>
  <c r="N181" i="2" s="1"/>
  <c r="Z181" i="2" s="1"/>
  <c r="L180" i="2"/>
  <c r="N180" i="2" s="1"/>
  <c r="Z180" i="2" s="1"/>
  <c r="L179" i="2"/>
  <c r="N179" i="2" s="1"/>
  <c r="Z179" i="2" s="1"/>
  <c r="L178" i="2"/>
  <c r="N178" i="2" s="1"/>
  <c r="Z178" i="2" s="1"/>
  <c r="L177" i="2"/>
  <c r="N177" i="2" s="1"/>
  <c r="Z177" i="2" s="1"/>
  <c r="L176" i="2"/>
  <c r="N176" i="2" s="1"/>
  <c r="Z176" i="2" s="1"/>
  <c r="L175" i="2"/>
  <c r="N175" i="2" s="1"/>
  <c r="Z175" i="2" s="1"/>
  <c r="L174" i="2"/>
  <c r="N174" i="2" s="1"/>
  <c r="Z174" i="2" s="1"/>
  <c r="L173" i="2"/>
  <c r="N173" i="2" s="1"/>
  <c r="Z173" i="2" s="1"/>
  <c r="L172" i="2"/>
  <c r="N172" i="2" s="1"/>
  <c r="Z172" i="2" s="1"/>
  <c r="L171" i="2"/>
  <c r="N171" i="2" s="1"/>
  <c r="Z171" i="2" s="1"/>
  <c r="L170" i="2"/>
  <c r="N170" i="2" s="1"/>
  <c r="Z170" i="2" s="1"/>
  <c r="L169" i="2"/>
  <c r="N169" i="2" s="1"/>
  <c r="Z169" i="2" s="1"/>
  <c r="L168" i="2"/>
  <c r="N168" i="2" s="1"/>
  <c r="Z168" i="2" s="1"/>
  <c r="L167" i="2"/>
  <c r="N167" i="2" s="1"/>
  <c r="Z167" i="2" s="1"/>
  <c r="L166" i="2"/>
  <c r="N166" i="2" s="1"/>
  <c r="Z166" i="2" s="1"/>
  <c r="L165" i="2"/>
  <c r="N165" i="2" s="1"/>
  <c r="Z165" i="2" s="1"/>
  <c r="L164" i="2"/>
  <c r="N164" i="2" s="1"/>
  <c r="Z164" i="2" s="1"/>
  <c r="L163" i="2"/>
  <c r="N163" i="2" s="1"/>
  <c r="Z163" i="2" s="1"/>
  <c r="L162" i="2"/>
  <c r="N162" i="2" s="1"/>
  <c r="Z162" i="2" s="1"/>
  <c r="L161" i="2"/>
  <c r="N161" i="2" s="1"/>
  <c r="Z161" i="2" s="1"/>
  <c r="L160" i="2"/>
  <c r="N160" i="2" s="1"/>
  <c r="Z160" i="2" s="1"/>
  <c r="L159" i="2"/>
  <c r="N159" i="2" s="1"/>
  <c r="Z159" i="2" s="1"/>
  <c r="L158" i="2"/>
  <c r="N158" i="2" s="1"/>
  <c r="Z158" i="2" s="1"/>
  <c r="L157" i="2"/>
  <c r="N157" i="2" s="1"/>
  <c r="Z157" i="2" s="1"/>
  <c r="L156" i="2"/>
  <c r="N156" i="2" s="1"/>
  <c r="Z156" i="2" s="1"/>
  <c r="L155" i="2"/>
  <c r="N155" i="2" s="1"/>
  <c r="Z155" i="2" s="1"/>
  <c r="L154" i="2"/>
  <c r="N154" i="2" s="1"/>
  <c r="Z154" i="2" s="1"/>
  <c r="L153" i="2"/>
  <c r="N153" i="2" s="1"/>
  <c r="Z153" i="2" s="1"/>
  <c r="L152" i="2"/>
  <c r="N152" i="2" s="1"/>
  <c r="Z152" i="2" s="1"/>
  <c r="L151" i="2"/>
  <c r="N151" i="2" s="1"/>
  <c r="Z151" i="2" s="1"/>
  <c r="L150" i="2"/>
  <c r="N150" i="2" s="1"/>
  <c r="Z150" i="2" s="1"/>
  <c r="L149" i="2"/>
  <c r="N149" i="2" s="1"/>
  <c r="Z149" i="2" s="1"/>
  <c r="L148" i="2"/>
  <c r="N148" i="2" s="1"/>
  <c r="Z148" i="2" s="1"/>
  <c r="L147" i="2"/>
  <c r="N147" i="2" s="1"/>
  <c r="Z147" i="2" s="1"/>
  <c r="L146" i="2"/>
  <c r="N146" i="2" s="1"/>
  <c r="Z146" i="2" s="1"/>
  <c r="L145" i="2"/>
  <c r="N145" i="2" s="1"/>
  <c r="Z145" i="2" s="1"/>
  <c r="L144" i="2"/>
  <c r="N144" i="2" s="1"/>
  <c r="Z144" i="2" s="1"/>
  <c r="L143" i="2"/>
  <c r="N143" i="2" s="1"/>
  <c r="Z143" i="2" s="1"/>
  <c r="L142" i="2"/>
  <c r="N142" i="2" s="1"/>
  <c r="Z142" i="2" s="1"/>
  <c r="L141" i="2"/>
  <c r="N141" i="2" s="1"/>
  <c r="Z141" i="2" s="1"/>
  <c r="L140" i="2"/>
  <c r="N140" i="2" s="1"/>
  <c r="Z140" i="2" s="1"/>
  <c r="L139" i="2"/>
  <c r="N139" i="2" s="1"/>
  <c r="Z139" i="2" s="1"/>
  <c r="L138" i="2"/>
  <c r="N138" i="2" s="1"/>
  <c r="Z138" i="2" s="1"/>
  <c r="L137" i="2"/>
  <c r="N137" i="2" s="1"/>
  <c r="Z137" i="2" s="1"/>
  <c r="L136" i="2"/>
  <c r="N136" i="2" s="1"/>
  <c r="Z136" i="2" s="1"/>
  <c r="L135" i="2"/>
  <c r="N135" i="2" s="1"/>
  <c r="Z135" i="2" s="1"/>
  <c r="L134" i="2"/>
  <c r="N134" i="2" s="1"/>
  <c r="Z134" i="2" s="1"/>
  <c r="L133" i="2"/>
  <c r="N133" i="2" s="1"/>
  <c r="Z133" i="2" s="1"/>
  <c r="L132" i="2"/>
  <c r="N132" i="2" s="1"/>
  <c r="Z132" i="2" s="1"/>
  <c r="L131" i="2"/>
  <c r="N131" i="2" s="1"/>
  <c r="Z131" i="2" s="1"/>
  <c r="L130" i="2"/>
  <c r="N130" i="2" s="1"/>
  <c r="Z130" i="2" s="1"/>
  <c r="L129" i="2"/>
  <c r="N129" i="2" s="1"/>
  <c r="Z129" i="2" s="1"/>
  <c r="L128" i="2"/>
  <c r="N128" i="2" s="1"/>
  <c r="Z128" i="2" s="1"/>
  <c r="L127" i="2"/>
  <c r="N127" i="2" s="1"/>
  <c r="Z127" i="2" s="1"/>
  <c r="L126" i="2"/>
  <c r="N126" i="2" s="1"/>
  <c r="Z126" i="2" s="1"/>
  <c r="L125" i="2"/>
  <c r="N125" i="2" s="1"/>
  <c r="Z125" i="2" s="1"/>
  <c r="L124" i="2"/>
  <c r="N124" i="2" s="1"/>
  <c r="Z124" i="2" s="1"/>
  <c r="L123" i="2"/>
  <c r="N123" i="2" s="1"/>
  <c r="Z123" i="2" s="1"/>
  <c r="L122" i="2"/>
  <c r="N122" i="2" s="1"/>
  <c r="Z122" i="2" s="1"/>
  <c r="L121" i="2"/>
  <c r="N121" i="2" s="1"/>
  <c r="Z121" i="2" s="1"/>
  <c r="L120" i="2"/>
  <c r="N120" i="2" s="1"/>
  <c r="Z120" i="2" s="1"/>
  <c r="L119" i="2"/>
  <c r="N119" i="2" s="1"/>
  <c r="Z119" i="2" s="1"/>
  <c r="L118" i="2"/>
  <c r="N118" i="2" s="1"/>
  <c r="Z118" i="2" s="1"/>
  <c r="L117" i="2"/>
  <c r="N117" i="2" s="1"/>
  <c r="Z117" i="2" s="1"/>
  <c r="L116" i="2"/>
  <c r="N116" i="2" s="1"/>
  <c r="Z116" i="2" s="1"/>
  <c r="L115" i="2"/>
  <c r="N115" i="2" s="1"/>
  <c r="Z115" i="2" s="1"/>
  <c r="L114" i="2"/>
  <c r="N114" i="2" s="1"/>
  <c r="Z114" i="2" s="1"/>
  <c r="L113" i="2"/>
  <c r="N113" i="2" s="1"/>
  <c r="Z113" i="2" s="1"/>
  <c r="L112" i="2"/>
  <c r="N112" i="2" s="1"/>
  <c r="Z112" i="2" s="1"/>
  <c r="L111" i="2"/>
  <c r="N111" i="2" s="1"/>
  <c r="Z111" i="2" s="1"/>
  <c r="L110" i="2"/>
  <c r="N110" i="2" s="1"/>
  <c r="Z110" i="2" s="1"/>
  <c r="L109" i="2"/>
  <c r="N109" i="2" s="1"/>
  <c r="Z109" i="2" s="1"/>
  <c r="L108" i="2"/>
  <c r="N108" i="2" s="1"/>
  <c r="Z108" i="2" s="1"/>
  <c r="L107" i="2"/>
  <c r="N107" i="2" s="1"/>
  <c r="Z107" i="2" s="1"/>
  <c r="L106" i="2"/>
  <c r="N106" i="2" s="1"/>
  <c r="Z106" i="2" s="1"/>
  <c r="L105" i="2"/>
  <c r="N105" i="2" s="1"/>
  <c r="Z105" i="2" s="1"/>
  <c r="L104" i="2"/>
  <c r="N104" i="2" s="1"/>
  <c r="Z104" i="2" s="1"/>
  <c r="L103" i="2"/>
  <c r="N103" i="2" s="1"/>
  <c r="Z103" i="2" s="1"/>
  <c r="L102" i="2"/>
  <c r="N102" i="2" s="1"/>
  <c r="Z102" i="2" s="1"/>
  <c r="L101" i="2"/>
  <c r="N101" i="2" s="1"/>
  <c r="Z101" i="2" s="1"/>
  <c r="L100" i="2"/>
  <c r="N100" i="2" s="1"/>
  <c r="Z100" i="2" s="1"/>
  <c r="L99" i="2"/>
  <c r="N99" i="2" s="1"/>
  <c r="Z99" i="2" s="1"/>
  <c r="L98" i="2"/>
  <c r="N98" i="2" s="1"/>
  <c r="Z98" i="2" s="1"/>
  <c r="L97" i="2"/>
  <c r="N97" i="2" s="1"/>
  <c r="Z97" i="2" s="1"/>
  <c r="L96" i="2"/>
  <c r="N96" i="2" s="1"/>
  <c r="Z96" i="2" s="1"/>
  <c r="L95" i="2"/>
  <c r="N95" i="2" s="1"/>
  <c r="Z95" i="2" s="1"/>
  <c r="L94" i="2"/>
  <c r="N94" i="2" s="1"/>
  <c r="Z94" i="2" s="1"/>
  <c r="L93" i="2"/>
  <c r="N93" i="2" s="1"/>
  <c r="Z93" i="2" s="1"/>
  <c r="L92" i="2"/>
  <c r="N92" i="2" s="1"/>
  <c r="Z92" i="2" s="1"/>
  <c r="L91" i="2"/>
  <c r="N91" i="2" s="1"/>
  <c r="Z91" i="2" s="1"/>
  <c r="L90" i="2"/>
  <c r="N90" i="2" s="1"/>
  <c r="Z90" i="2" s="1"/>
  <c r="L89" i="2"/>
  <c r="N89" i="2" s="1"/>
  <c r="Z89" i="2" s="1"/>
  <c r="L88" i="2"/>
  <c r="N88" i="2" s="1"/>
  <c r="Z88" i="2" s="1"/>
  <c r="L87" i="2"/>
  <c r="N87" i="2" s="1"/>
  <c r="Z87" i="2" s="1"/>
  <c r="L86" i="2"/>
  <c r="N86" i="2" s="1"/>
  <c r="Z86" i="2" s="1"/>
  <c r="L85" i="2"/>
  <c r="N85" i="2" s="1"/>
  <c r="Z85" i="2" s="1"/>
  <c r="L84" i="2"/>
  <c r="N84" i="2" s="1"/>
  <c r="Z84" i="2" s="1"/>
  <c r="L83" i="2"/>
  <c r="N83" i="2" s="1"/>
  <c r="Z83" i="2" s="1"/>
  <c r="L82" i="2"/>
  <c r="N82" i="2" s="1"/>
  <c r="Z82" i="2" s="1"/>
  <c r="L81" i="2"/>
  <c r="N81" i="2" s="1"/>
  <c r="Z81" i="2" s="1"/>
  <c r="L80" i="2"/>
  <c r="N80" i="2" s="1"/>
  <c r="Z80" i="2" s="1"/>
  <c r="L79" i="2"/>
  <c r="N79" i="2" s="1"/>
  <c r="Z79" i="2" s="1"/>
  <c r="L78" i="2"/>
  <c r="N78" i="2" s="1"/>
  <c r="Z78" i="2" s="1"/>
  <c r="L77" i="2"/>
  <c r="N77" i="2" s="1"/>
  <c r="Z77" i="2" s="1"/>
  <c r="L76" i="2"/>
  <c r="N76" i="2" s="1"/>
  <c r="Z76" i="2" s="1"/>
  <c r="L75" i="2"/>
  <c r="N75" i="2" s="1"/>
  <c r="Z75" i="2" s="1"/>
  <c r="L74" i="2"/>
  <c r="N74" i="2" s="1"/>
  <c r="Z74" i="2" s="1"/>
  <c r="L73" i="2"/>
  <c r="N73" i="2" s="1"/>
  <c r="Z73" i="2" s="1"/>
  <c r="L72" i="2"/>
  <c r="N72" i="2" s="1"/>
  <c r="Z72" i="2" s="1"/>
  <c r="L71" i="2"/>
  <c r="N71" i="2" s="1"/>
  <c r="Z71" i="2" s="1"/>
  <c r="L70" i="2"/>
  <c r="N70" i="2" s="1"/>
  <c r="Z70" i="2" s="1"/>
  <c r="L69" i="2"/>
  <c r="N69" i="2" s="1"/>
  <c r="Z69" i="2" s="1"/>
  <c r="L68" i="2"/>
  <c r="N68" i="2" s="1"/>
  <c r="Z68" i="2" s="1"/>
  <c r="L67" i="2"/>
  <c r="N67" i="2" s="1"/>
  <c r="Z67" i="2" s="1"/>
  <c r="L66" i="2"/>
  <c r="N66" i="2" s="1"/>
  <c r="Z66" i="2" s="1"/>
  <c r="L65" i="2"/>
  <c r="N65" i="2" s="1"/>
  <c r="Z65" i="2" s="1"/>
  <c r="L64" i="2"/>
  <c r="N64" i="2" s="1"/>
  <c r="Z64" i="2" s="1"/>
  <c r="L63" i="2"/>
  <c r="N63" i="2" s="1"/>
  <c r="Z63" i="2" s="1"/>
  <c r="L62" i="2"/>
  <c r="N62" i="2" s="1"/>
  <c r="Z62" i="2" s="1"/>
  <c r="L61" i="2"/>
  <c r="N61" i="2" s="1"/>
  <c r="Z61" i="2" s="1"/>
  <c r="L60" i="2"/>
  <c r="N60" i="2" s="1"/>
  <c r="Z60" i="2" s="1"/>
  <c r="L59" i="2"/>
  <c r="N59" i="2" s="1"/>
  <c r="Z59" i="2" s="1"/>
  <c r="L58" i="2"/>
  <c r="N58" i="2" s="1"/>
  <c r="Z58" i="2" s="1"/>
  <c r="L57" i="2"/>
  <c r="N57" i="2" s="1"/>
  <c r="Z57" i="2" s="1"/>
  <c r="L56" i="2"/>
  <c r="N56" i="2" s="1"/>
  <c r="Z56" i="2" s="1"/>
  <c r="L55" i="2"/>
  <c r="N55" i="2" s="1"/>
  <c r="Z55" i="2" s="1"/>
  <c r="L54" i="2"/>
  <c r="N54" i="2" s="1"/>
  <c r="Z54" i="2" s="1"/>
  <c r="L53" i="2"/>
  <c r="N53" i="2" s="1"/>
  <c r="Z53" i="2" s="1"/>
  <c r="L52" i="2"/>
  <c r="N52" i="2" s="1"/>
  <c r="Z52" i="2" s="1"/>
  <c r="L51" i="2"/>
  <c r="N51" i="2" s="1"/>
  <c r="Z51" i="2" s="1"/>
  <c r="L50" i="2"/>
  <c r="N50" i="2" s="1"/>
  <c r="Z50" i="2" s="1"/>
  <c r="L49" i="2"/>
  <c r="N49" i="2" s="1"/>
  <c r="Z49" i="2" s="1"/>
  <c r="L48" i="2"/>
  <c r="N48" i="2" s="1"/>
  <c r="Z48" i="2" s="1"/>
  <c r="L47" i="2"/>
  <c r="N47" i="2" s="1"/>
  <c r="Z47" i="2" s="1"/>
  <c r="L46" i="2"/>
  <c r="N46" i="2" s="1"/>
  <c r="Z46" i="2" s="1"/>
  <c r="L45" i="2"/>
  <c r="N45" i="2" s="1"/>
  <c r="Z45" i="2" s="1"/>
  <c r="L44" i="2"/>
  <c r="N44" i="2" s="1"/>
  <c r="Z44" i="2" s="1"/>
  <c r="L43" i="2"/>
  <c r="N43" i="2" s="1"/>
  <c r="Z43" i="2" s="1"/>
  <c r="L42" i="2"/>
  <c r="N42" i="2" s="1"/>
  <c r="Z42" i="2" s="1"/>
  <c r="L41" i="2"/>
  <c r="N41" i="2" s="1"/>
  <c r="Z41" i="2" s="1"/>
  <c r="L40" i="2"/>
  <c r="N40" i="2" s="1"/>
  <c r="Z40" i="2" s="1"/>
  <c r="L39" i="2"/>
  <c r="N39" i="2" s="1"/>
  <c r="Z39" i="2" s="1"/>
  <c r="L38" i="2"/>
  <c r="N38" i="2" s="1"/>
  <c r="Z38" i="2" s="1"/>
  <c r="L37" i="2"/>
  <c r="N37" i="2" s="1"/>
  <c r="Z37" i="2" s="1"/>
  <c r="L36" i="2"/>
  <c r="N36" i="2" s="1"/>
  <c r="Z36" i="2" s="1"/>
  <c r="L35" i="2"/>
  <c r="N35" i="2" s="1"/>
  <c r="Z35" i="2" s="1"/>
  <c r="L34" i="2"/>
  <c r="N34" i="2" s="1"/>
  <c r="Z34" i="2" s="1"/>
  <c r="L33" i="2"/>
  <c r="N33" i="2" s="1"/>
  <c r="Z33" i="2" s="1"/>
  <c r="L32" i="2"/>
  <c r="N32" i="2" s="1"/>
  <c r="Z32" i="2" s="1"/>
  <c r="L31" i="2"/>
  <c r="N31" i="2" s="1"/>
  <c r="Z31" i="2" s="1"/>
  <c r="L30" i="2"/>
  <c r="N30" i="2" s="1"/>
  <c r="Z30" i="2" s="1"/>
  <c r="L29" i="2"/>
  <c r="N29" i="2" s="1"/>
  <c r="Z29" i="2" s="1"/>
  <c r="L28" i="2"/>
  <c r="N28" i="2" s="1"/>
  <c r="Z28" i="2" s="1"/>
  <c r="L27" i="2"/>
  <c r="N27" i="2" s="1"/>
  <c r="Z27" i="2" s="1"/>
  <c r="L26" i="2"/>
  <c r="N26" i="2" s="1"/>
  <c r="Z26" i="2" s="1"/>
  <c r="L25" i="2"/>
  <c r="N25" i="2" s="1"/>
  <c r="Z25" i="2" s="1"/>
  <c r="L24" i="2"/>
  <c r="N24" i="2" s="1"/>
  <c r="Z24" i="2" s="1"/>
  <c r="L23" i="2"/>
  <c r="N23" i="2" s="1"/>
  <c r="Z23" i="2" s="1"/>
  <c r="L22" i="2"/>
  <c r="N22" i="2" s="1"/>
  <c r="Z22" i="2" s="1"/>
  <c r="L21" i="2"/>
  <c r="N21" i="2" s="1"/>
  <c r="Z21" i="2" s="1"/>
  <c r="L20" i="2"/>
  <c r="N20" i="2" s="1"/>
  <c r="Z20" i="2" s="1"/>
  <c r="L19" i="2"/>
  <c r="N19" i="2" s="1"/>
  <c r="Z19" i="2" s="1"/>
  <c r="L18" i="2"/>
  <c r="N18" i="2" s="1"/>
  <c r="Z18" i="2" s="1"/>
  <c r="L17" i="2"/>
  <c r="N17" i="2" s="1"/>
  <c r="Z17" i="2" s="1"/>
  <c r="L16" i="2"/>
  <c r="N16" i="2" s="1"/>
  <c r="Z16" i="2" s="1"/>
  <c r="L15" i="2"/>
  <c r="N15" i="2" s="1"/>
  <c r="Z15" i="2" s="1"/>
  <c r="L14" i="2"/>
  <c r="N14" i="2" s="1"/>
  <c r="Z14" i="2" s="1"/>
  <c r="L13" i="2"/>
  <c r="N13" i="2" s="1"/>
  <c r="Z13" i="2" s="1"/>
  <c r="L12" i="2"/>
  <c r="N12" i="2" s="1"/>
  <c r="Z12" i="2" s="1"/>
  <c r="L11" i="2"/>
  <c r="N11" i="2" s="1"/>
  <c r="Z11" i="2" s="1"/>
  <c r="L10" i="2"/>
  <c r="N10" i="2" s="1"/>
  <c r="Z10" i="2" s="1"/>
  <c r="L9" i="2"/>
  <c r="N9" i="2" s="1"/>
  <c r="Z9" i="2" s="1"/>
  <c r="L8" i="2"/>
  <c r="N8" i="2" s="1"/>
  <c r="L7" i="2"/>
  <c r="N7" i="2" s="1"/>
  <c r="L6" i="2"/>
  <c r="E257" i="2"/>
  <c r="G257" i="2" s="1"/>
  <c r="Y257" i="2" s="1"/>
  <c r="E256" i="2"/>
  <c r="G256" i="2" s="1"/>
  <c r="Y256" i="2" s="1"/>
  <c r="E255" i="2"/>
  <c r="G255" i="2" s="1"/>
  <c r="Y255" i="2" s="1"/>
  <c r="E254" i="2"/>
  <c r="G254" i="2" s="1"/>
  <c r="Y254" i="2" s="1"/>
  <c r="E253" i="2"/>
  <c r="G253" i="2" s="1"/>
  <c r="Y253" i="2" s="1"/>
  <c r="E252" i="2"/>
  <c r="G252" i="2" s="1"/>
  <c r="Y252" i="2" s="1"/>
  <c r="E251" i="2"/>
  <c r="G251" i="2" s="1"/>
  <c r="Y251" i="2" s="1"/>
  <c r="E250" i="2"/>
  <c r="G250" i="2" s="1"/>
  <c r="Y250" i="2" s="1"/>
  <c r="E249" i="2"/>
  <c r="G249" i="2" s="1"/>
  <c r="Y249" i="2" s="1"/>
  <c r="E248" i="2"/>
  <c r="G248" i="2" s="1"/>
  <c r="Y248" i="2" s="1"/>
  <c r="E247" i="2"/>
  <c r="G247" i="2" s="1"/>
  <c r="Y247" i="2" s="1"/>
  <c r="E246" i="2"/>
  <c r="G246" i="2" s="1"/>
  <c r="Y246" i="2" s="1"/>
  <c r="E245" i="2"/>
  <c r="G245" i="2" s="1"/>
  <c r="Y245" i="2" s="1"/>
  <c r="E244" i="2"/>
  <c r="G244" i="2" s="1"/>
  <c r="Y244" i="2" s="1"/>
  <c r="E243" i="2"/>
  <c r="G243" i="2" s="1"/>
  <c r="Y243" i="2" s="1"/>
  <c r="E242" i="2"/>
  <c r="G242" i="2" s="1"/>
  <c r="Y242" i="2" s="1"/>
  <c r="E241" i="2"/>
  <c r="G241" i="2" s="1"/>
  <c r="Y241" i="2" s="1"/>
  <c r="E240" i="2"/>
  <c r="G240" i="2" s="1"/>
  <c r="Y240" i="2" s="1"/>
  <c r="E239" i="2"/>
  <c r="G239" i="2" s="1"/>
  <c r="Y239" i="2" s="1"/>
  <c r="E238" i="2"/>
  <c r="G238" i="2" s="1"/>
  <c r="Y238" i="2" s="1"/>
  <c r="E237" i="2"/>
  <c r="G237" i="2" s="1"/>
  <c r="Y237" i="2" s="1"/>
  <c r="E236" i="2"/>
  <c r="G236" i="2" s="1"/>
  <c r="Y236" i="2" s="1"/>
  <c r="E235" i="2"/>
  <c r="G235" i="2" s="1"/>
  <c r="Y235" i="2" s="1"/>
  <c r="E234" i="2"/>
  <c r="G234" i="2" s="1"/>
  <c r="Y234" i="2" s="1"/>
  <c r="E233" i="2"/>
  <c r="G233" i="2" s="1"/>
  <c r="Y233" i="2" s="1"/>
  <c r="E232" i="2"/>
  <c r="G232" i="2" s="1"/>
  <c r="Y232" i="2" s="1"/>
  <c r="E231" i="2"/>
  <c r="G231" i="2" s="1"/>
  <c r="Y231" i="2" s="1"/>
  <c r="E230" i="2"/>
  <c r="G230" i="2" s="1"/>
  <c r="Y230" i="2" s="1"/>
  <c r="E229" i="2"/>
  <c r="G229" i="2" s="1"/>
  <c r="Y229" i="2" s="1"/>
  <c r="E228" i="2"/>
  <c r="G228" i="2" s="1"/>
  <c r="Y228" i="2" s="1"/>
  <c r="E227" i="2"/>
  <c r="G227" i="2" s="1"/>
  <c r="Y227" i="2" s="1"/>
  <c r="E226" i="2"/>
  <c r="G226" i="2" s="1"/>
  <c r="Y226" i="2" s="1"/>
  <c r="E225" i="2"/>
  <c r="G225" i="2" s="1"/>
  <c r="Y225" i="2" s="1"/>
  <c r="E224" i="2"/>
  <c r="G224" i="2" s="1"/>
  <c r="Y224" i="2" s="1"/>
  <c r="E223" i="2"/>
  <c r="G223" i="2" s="1"/>
  <c r="Y223" i="2" s="1"/>
  <c r="E222" i="2"/>
  <c r="G222" i="2" s="1"/>
  <c r="Y222" i="2" s="1"/>
  <c r="E221" i="2"/>
  <c r="G221" i="2" s="1"/>
  <c r="Y221" i="2" s="1"/>
  <c r="E220" i="2"/>
  <c r="G220" i="2" s="1"/>
  <c r="Y220" i="2" s="1"/>
  <c r="E219" i="2"/>
  <c r="G219" i="2" s="1"/>
  <c r="Y219" i="2" s="1"/>
  <c r="E218" i="2"/>
  <c r="G218" i="2" s="1"/>
  <c r="Y218" i="2" s="1"/>
  <c r="E217" i="2"/>
  <c r="G217" i="2" s="1"/>
  <c r="Y217" i="2" s="1"/>
  <c r="E216" i="2"/>
  <c r="G216" i="2" s="1"/>
  <c r="Y216" i="2" s="1"/>
  <c r="E215" i="2"/>
  <c r="G215" i="2" s="1"/>
  <c r="Y215" i="2" s="1"/>
  <c r="E214" i="2"/>
  <c r="G214" i="2" s="1"/>
  <c r="Y214" i="2" s="1"/>
  <c r="E213" i="2"/>
  <c r="G213" i="2" s="1"/>
  <c r="Y213" i="2" s="1"/>
  <c r="E212" i="2"/>
  <c r="G212" i="2" s="1"/>
  <c r="Y212" i="2" s="1"/>
  <c r="E211" i="2"/>
  <c r="G211" i="2" s="1"/>
  <c r="Y211" i="2" s="1"/>
  <c r="E210" i="2"/>
  <c r="G210" i="2" s="1"/>
  <c r="Y210" i="2" s="1"/>
  <c r="E209" i="2"/>
  <c r="G209" i="2" s="1"/>
  <c r="Y209" i="2" s="1"/>
  <c r="E208" i="2"/>
  <c r="G208" i="2" s="1"/>
  <c r="Y208" i="2" s="1"/>
  <c r="E207" i="2"/>
  <c r="G207" i="2" s="1"/>
  <c r="Y207" i="2" s="1"/>
  <c r="E206" i="2"/>
  <c r="G206" i="2" s="1"/>
  <c r="Y206" i="2" s="1"/>
  <c r="E205" i="2"/>
  <c r="G205" i="2" s="1"/>
  <c r="Y205" i="2" s="1"/>
  <c r="E204" i="2"/>
  <c r="G204" i="2" s="1"/>
  <c r="Y204" i="2" s="1"/>
  <c r="E203" i="2"/>
  <c r="G203" i="2" s="1"/>
  <c r="Y203" i="2" s="1"/>
  <c r="E202" i="2"/>
  <c r="G202" i="2" s="1"/>
  <c r="Y202" i="2" s="1"/>
  <c r="E201" i="2"/>
  <c r="G201" i="2" s="1"/>
  <c r="Y201" i="2" s="1"/>
  <c r="E200" i="2"/>
  <c r="G200" i="2" s="1"/>
  <c r="Y200" i="2" s="1"/>
  <c r="E199" i="2"/>
  <c r="G199" i="2" s="1"/>
  <c r="Y199" i="2" s="1"/>
  <c r="E198" i="2"/>
  <c r="G198" i="2" s="1"/>
  <c r="Y198" i="2" s="1"/>
  <c r="E197" i="2"/>
  <c r="G197" i="2" s="1"/>
  <c r="Y197" i="2" s="1"/>
  <c r="E196" i="2"/>
  <c r="G196" i="2" s="1"/>
  <c r="Y196" i="2" s="1"/>
  <c r="E195" i="2"/>
  <c r="G195" i="2" s="1"/>
  <c r="Y195" i="2" s="1"/>
  <c r="E194" i="2"/>
  <c r="G194" i="2" s="1"/>
  <c r="Y194" i="2" s="1"/>
  <c r="E193" i="2"/>
  <c r="G193" i="2" s="1"/>
  <c r="Y193" i="2" s="1"/>
  <c r="E192" i="2"/>
  <c r="G192" i="2" s="1"/>
  <c r="Y192" i="2" s="1"/>
  <c r="E191" i="2"/>
  <c r="G191" i="2" s="1"/>
  <c r="Y191" i="2" s="1"/>
  <c r="E190" i="2"/>
  <c r="G190" i="2" s="1"/>
  <c r="Y190" i="2" s="1"/>
  <c r="E189" i="2"/>
  <c r="G189" i="2" s="1"/>
  <c r="Y189" i="2" s="1"/>
  <c r="E188" i="2"/>
  <c r="G188" i="2" s="1"/>
  <c r="Y188" i="2" s="1"/>
  <c r="E187" i="2"/>
  <c r="G187" i="2" s="1"/>
  <c r="Y187" i="2" s="1"/>
  <c r="E186" i="2"/>
  <c r="G186" i="2" s="1"/>
  <c r="Y186" i="2" s="1"/>
  <c r="E185" i="2"/>
  <c r="G185" i="2" s="1"/>
  <c r="Y185" i="2" s="1"/>
  <c r="E184" i="2"/>
  <c r="G184" i="2" s="1"/>
  <c r="Y184" i="2" s="1"/>
  <c r="E183" i="2"/>
  <c r="G183" i="2" s="1"/>
  <c r="Y183" i="2" s="1"/>
  <c r="E182" i="2"/>
  <c r="G182" i="2" s="1"/>
  <c r="Y182" i="2" s="1"/>
  <c r="E181" i="2"/>
  <c r="G181" i="2" s="1"/>
  <c r="Y181" i="2" s="1"/>
  <c r="E180" i="2"/>
  <c r="G180" i="2" s="1"/>
  <c r="Y180" i="2" s="1"/>
  <c r="E179" i="2"/>
  <c r="G179" i="2" s="1"/>
  <c r="Y179" i="2" s="1"/>
  <c r="E178" i="2"/>
  <c r="G178" i="2" s="1"/>
  <c r="Y178" i="2" s="1"/>
  <c r="E177" i="2"/>
  <c r="G177" i="2" s="1"/>
  <c r="Y177" i="2" s="1"/>
  <c r="E176" i="2"/>
  <c r="G176" i="2" s="1"/>
  <c r="Y176" i="2" s="1"/>
  <c r="E175" i="2"/>
  <c r="G175" i="2" s="1"/>
  <c r="Y175" i="2" s="1"/>
  <c r="E174" i="2"/>
  <c r="G174" i="2" s="1"/>
  <c r="Y174" i="2" s="1"/>
  <c r="E173" i="2"/>
  <c r="G173" i="2" s="1"/>
  <c r="Y173" i="2" s="1"/>
  <c r="E172" i="2"/>
  <c r="G172" i="2" s="1"/>
  <c r="Y172" i="2" s="1"/>
  <c r="E171" i="2"/>
  <c r="G171" i="2" s="1"/>
  <c r="Y171" i="2" s="1"/>
  <c r="E170" i="2"/>
  <c r="G170" i="2" s="1"/>
  <c r="Y170" i="2" s="1"/>
  <c r="E169" i="2"/>
  <c r="G169" i="2" s="1"/>
  <c r="Y169" i="2" s="1"/>
  <c r="E168" i="2"/>
  <c r="G168" i="2" s="1"/>
  <c r="Y168" i="2" s="1"/>
  <c r="E167" i="2"/>
  <c r="G167" i="2" s="1"/>
  <c r="Y167" i="2" s="1"/>
  <c r="E166" i="2"/>
  <c r="G166" i="2" s="1"/>
  <c r="Y166" i="2" s="1"/>
  <c r="E165" i="2"/>
  <c r="G165" i="2" s="1"/>
  <c r="Y165" i="2" s="1"/>
  <c r="E164" i="2"/>
  <c r="G164" i="2" s="1"/>
  <c r="Y164" i="2" s="1"/>
  <c r="E163" i="2"/>
  <c r="G163" i="2" s="1"/>
  <c r="Y163" i="2" s="1"/>
  <c r="E162" i="2"/>
  <c r="G162" i="2" s="1"/>
  <c r="Y162" i="2" s="1"/>
  <c r="E161" i="2"/>
  <c r="G161" i="2" s="1"/>
  <c r="Y161" i="2" s="1"/>
  <c r="E160" i="2"/>
  <c r="G160" i="2" s="1"/>
  <c r="Y160" i="2" s="1"/>
  <c r="E159" i="2"/>
  <c r="G159" i="2" s="1"/>
  <c r="Y159" i="2" s="1"/>
  <c r="E158" i="2"/>
  <c r="G158" i="2" s="1"/>
  <c r="Y158" i="2" s="1"/>
  <c r="E157" i="2"/>
  <c r="G157" i="2" s="1"/>
  <c r="Y157" i="2" s="1"/>
  <c r="E156" i="2"/>
  <c r="G156" i="2" s="1"/>
  <c r="Y156" i="2" s="1"/>
  <c r="E155" i="2"/>
  <c r="G155" i="2" s="1"/>
  <c r="Y155" i="2" s="1"/>
  <c r="E154" i="2"/>
  <c r="G154" i="2" s="1"/>
  <c r="Y154" i="2" s="1"/>
  <c r="E153" i="2"/>
  <c r="G153" i="2" s="1"/>
  <c r="Y153" i="2" s="1"/>
  <c r="E152" i="2"/>
  <c r="G152" i="2" s="1"/>
  <c r="Y152" i="2" s="1"/>
  <c r="E151" i="2"/>
  <c r="G151" i="2" s="1"/>
  <c r="Y151" i="2" s="1"/>
  <c r="E150" i="2"/>
  <c r="G150" i="2" s="1"/>
  <c r="Y150" i="2" s="1"/>
  <c r="E149" i="2"/>
  <c r="G149" i="2" s="1"/>
  <c r="Y149" i="2" s="1"/>
  <c r="E148" i="2"/>
  <c r="G148" i="2" s="1"/>
  <c r="Y148" i="2" s="1"/>
  <c r="E147" i="2"/>
  <c r="G147" i="2" s="1"/>
  <c r="Y147" i="2" s="1"/>
  <c r="E146" i="2"/>
  <c r="G146" i="2" s="1"/>
  <c r="Y146" i="2" s="1"/>
  <c r="E145" i="2"/>
  <c r="G145" i="2" s="1"/>
  <c r="Y145" i="2" s="1"/>
  <c r="E144" i="2"/>
  <c r="G144" i="2" s="1"/>
  <c r="Y144" i="2" s="1"/>
  <c r="E143" i="2"/>
  <c r="G143" i="2" s="1"/>
  <c r="Y143" i="2" s="1"/>
  <c r="E142" i="2"/>
  <c r="G142" i="2" s="1"/>
  <c r="Y142" i="2" s="1"/>
  <c r="E141" i="2"/>
  <c r="G141" i="2" s="1"/>
  <c r="Y141" i="2" s="1"/>
  <c r="E140" i="2"/>
  <c r="G140" i="2" s="1"/>
  <c r="Y140" i="2" s="1"/>
  <c r="E139" i="2"/>
  <c r="G139" i="2" s="1"/>
  <c r="Y139" i="2" s="1"/>
  <c r="E138" i="2"/>
  <c r="G138" i="2" s="1"/>
  <c r="Y138" i="2" s="1"/>
  <c r="E137" i="2"/>
  <c r="G137" i="2" s="1"/>
  <c r="Y137" i="2" s="1"/>
  <c r="E136" i="2"/>
  <c r="G136" i="2" s="1"/>
  <c r="Y136" i="2" s="1"/>
  <c r="E135" i="2"/>
  <c r="G135" i="2" s="1"/>
  <c r="Y135" i="2" s="1"/>
  <c r="E134" i="2"/>
  <c r="G134" i="2" s="1"/>
  <c r="Y134" i="2" s="1"/>
  <c r="E133" i="2"/>
  <c r="G133" i="2" s="1"/>
  <c r="Y133" i="2" s="1"/>
  <c r="E132" i="2"/>
  <c r="G132" i="2" s="1"/>
  <c r="Y132" i="2" s="1"/>
  <c r="E131" i="2"/>
  <c r="G131" i="2" s="1"/>
  <c r="Y131" i="2" s="1"/>
  <c r="E130" i="2"/>
  <c r="G130" i="2" s="1"/>
  <c r="Y130" i="2" s="1"/>
  <c r="E129" i="2"/>
  <c r="G129" i="2" s="1"/>
  <c r="Y129" i="2" s="1"/>
  <c r="E128" i="2"/>
  <c r="G128" i="2" s="1"/>
  <c r="Y128" i="2" s="1"/>
  <c r="E127" i="2"/>
  <c r="G127" i="2" s="1"/>
  <c r="Y127" i="2" s="1"/>
  <c r="E126" i="2"/>
  <c r="G126" i="2" s="1"/>
  <c r="Y126" i="2" s="1"/>
  <c r="E125" i="2"/>
  <c r="G125" i="2" s="1"/>
  <c r="Y125" i="2" s="1"/>
  <c r="E124" i="2"/>
  <c r="G124" i="2" s="1"/>
  <c r="Y124" i="2" s="1"/>
  <c r="E123" i="2"/>
  <c r="G123" i="2" s="1"/>
  <c r="Y123" i="2" s="1"/>
  <c r="E122" i="2"/>
  <c r="G122" i="2" s="1"/>
  <c r="Y122" i="2" s="1"/>
  <c r="E121" i="2"/>
  <c r="G121" i="2" s="1"/>
  <c r="Y121" i="2" s="1"/>
  <c r="E120" i="2"/>
  <c r="G120" i="2" s="1"/>
  <c r="Y120" i="2" s="1"/>
  <c r="E119" i="2"/>
  <c r="G119" i="2" s="1"/>
  <c r="Y119" i="2" s="1"/>
  <c r="E118" i="2"/>
  <c r="G118" i="2" s="1"/>
  <c r="Y118" i="2" s="1"/>
  <c r="E117" i="2"/>
  <c r="G117" i="2" s="1"/>
  <c r="Y117" i="2" s="1"/>
  <c r="E116" i="2"/>
  <c r="G116" i="2" s="1"/>
  <c r="Y116" i="2" s="1"/>
  <c r="E115" i="2"/>
  <c r="G115" i="2" s="1"/>
  <c r="Y115" i="2" s="1"/>
  <c r="E114" i="2"/>
  <c r="G114" i="2" s="1"/>
  <c r="Y114" i="2" s="1"/>
  <c r="E113" i="2"/>
  <c r="G113" i="2" s="1"/>
  <c r="Y113" i="2" s="1"/>
  <c r="E112" i="2"/>
  <c r="G112" i="2" s="1"/>
  <c r="Y112" i="2" s="1"/>
  <c r="E111" i="2"/>
  <c r="G111" i="2" s="1"/>
  <c r="Y111" i="2" s="1"/>
  <c r="E110" i="2"/>
  <c r="G110" i="2" s="1"/>
  <c r="Y110" i="2" s="1"/>
  <c r="E109" i="2"/>
  <c r="G109" i="2" s="1"/>
  <c r="Y109" i="2" s="1"/>
  <c r="E108" i="2"/>
  <c r="G108" i="2" s="1"/>
  <c r="Y108" i="2" s="1"/>
  <c r="E107" i="2"/>
  <c r="G107" i="2" s="1"/>
  <c r="Y107" i="2" s="1"/>
  <c r="E106" i="2"/>
  <c r="G106" i="2" s="1"/>
  <c r="Y106" i="2" s="1"/>
  <c r="E105" i="2"/>
  <c r="G105" i="2" s="1"/>
  <c r="Y105" i="2" s="1"/>
  <c r="E104" i="2"/>
  <c r="G104" i="2" s="1"/>
  <c r="Y104" i="2" s="1"/>
  <c r="E103" i="2"/>
  <c r="G103" i="2" s="1"/>
  <c r="Y103" i="2" s="1"/>
  <c r="E102" i="2"/>
  <c r="G102" i="2" s="1"/>
  <c r="Y102" i="2" s="1"/>
  <c r="E101" i="2"/>
  <c r="G101" i="2" s="1"/>
  <c r="Y101" i="2" s="1"/>
  <c r="E100" i="2"/>
  <c r="G100" i="2" s="1"/>
  <c r="Y100" i="2" s="1"/>
  <c r="E99" i="2"/>
  <c r="G99" i="2" s="1"/>
  <c r="Y99" i="2" s="1"/>
  <c r="E98" i="2"/>
  <c r="G98" i="2" s="1"/>
  <c r="Y98" i="2" s="1"/>
  <c r="E97" i="2"/>
  <c r="G97" i="2" s="1"/>
  <c r="Y97" i="2" s="1"/>
  <c r="E96" i="2"/>
  <c r="G96" i="2" s="1"/>
  <c r="Y96" i="2" s="1"/>
  <c r="E95" i="2"/>
  <c r="G95" i="2" s="1"/>
  <c r="Y95" i="2" s="1"/>
  <c r="E94" i="2"/>
  <c r="G94" i="2" s="1"/>
  <c r="Y94" i="2" s="1"/>
  <c r="E93" i="2"/>
  <c r="G93" i="2" s="1"/>
  <c r="Y93" i="2" s="1"/>
  <c r="E92" i="2"/>
  <c r="G92" i="2" s="1"/>
  <c r="Y92" i="2" s="1"/>
  <c r="E91" i="2"/>
  <c r="G91" i="2" s="1"/>
  <c r="Y91" i="2" s="1"/>
  <c r="E90" i="2"/>
  <c r="G90" i="2" s="1"/>
  <c r="Y90" i="2" s="1"/>
  <c r="E89" i="2"/>
  <c r="G89" i="2" s="1"/>
  <c r="Y89" i="2" s="1"/>
  <c r="E88" i="2"/>
  <c r="G88" i="2" s="1"/>
  <c r="Y88" i="2" s="1"/>
  <c r="E87" i="2"/>
  <c r="G87" i="2" s="1"/>
  <c r="Y87" i="2" s="1"/>
  <c r="E86" i="2"/>
  <c r="G86" i="2" s="1"/>
  <c r="Y86" i="2" s="1"/>
  <c r="E85" i="2"/>
  <c r="G85" i="2" s="1"/>
  <c r="Y85" i="2" s="1"/>
  <c r="E84" i="2"/>
  <c r="G84" i="2" s="1"/>
  <c r="Y84" i="2" s="1"/>
  <c r="E83" i="2"/>
  <c r="G83" i="2" s="1"/>
  <c r="Y83" i="2" s="1"/>
  <c r="E82" i="2"/>
  <c r="G82" i="2" s="1"/>
  <c r="Y82" i="2" s="1"/>
  <c r="E81" i="2"/>
  <c r="G81" i="2" s="1"/>
  <c r="Y81" i="2" s="1"/>
  <c r="E80" i="2"/>
  <c r="G80" i="2" s="1"/>
  <c r="Y80" i="2" s="1"/>
  <c r="E79" i="2"/>
  <c r="G79" i="2" s="1"/>
  <c r="Y79" i="2" s="1"/>
  <c r="E78" i="2"/>
  <c r="G78" i="2" s="1"/>
  <c r="Y78" i="2" s="1"/>
  <c r="E77" i="2"/>
  <c r="G77" i="2" s="1"/>
  <c r="Y77" i="2" s="1"/>
  <c r="E76" i="2"/>
  <c r="G76" i="2" s="1"/>
  <c r="Y76" i="2" s="1"/>
  <c r="E75" i="2"/>
  <c r="G75" i="2" s="1"/>
  <c r="Y75" i="2" s="1"/>
  <c r="E74" i="2"/>
  <c r="G74" i="2" s="1"/>
  <c r="Y74" i="2" s="1"/>
  <c r="E73" i="2"/>
  <c r="G73" i="2" s="1"/>
  <c r="Y73" i="2" s="1"/>
  <c r="E72" i="2"/>
  <c r="G72" i="2" s="1"/>
  <c r="Y72" i="2" s="1"/>
  <c r="E71" i="2"/>
  <c r="G71" i="2" s="1"/>
  <c r="Y71" i="2" s="1"/>
  <c r="E70" i="2"/>
  <c r="G70" i="2" s="1"/>
  <c r="Y70" i="2" s="1"/>
  <c r="E69" i="2"/>
  <c r="G69" i="2" s="1"/>
  <c r="Y69" i="2" s="1"/>
  <c r="E68" i="2"/>
  <c r="G68" i="2" s="1"/>
  <c r="Y68" i="2" s="1"/>
  <c r="E67" i="2"/>
  <c r="G67" i="2" s="1"/>
  <c r="Y67" i="2" s="1"/>
  <c r="E66" i="2"/>
  <c r="G66" i="2" s="1"/>
  <c r="Y66" i="2" s="1"/>
  <c r="E65" i="2"/>
  <c r="G65" i="2" s="1"/>
  <c r="Y65" i="2" s="1"/>
  <c r="E64" i="2"/>
  <c r="G64" i="2" s="1"/>
  <c r="Y64" i="2" s="1"/>
  <c r="E63" i="2"/>
  <c r="G63" i="2" s="1"/>
  <c r="Y63" i="2" s="1"/>
  <c r="E62" i="2"/>
  <c r="G62" i="2" s="1"/>
  <c r="Y62" i="2" s="1"/>
  <c r="E61" i="2"/>
  <c r="G61" i="2" s="1"/>
  <c r="Y61" i="2" s="1"/>
  <c r="E60" i="2"/>
  <c r="G60" i="2" s="1"/>
  <c r="Y60" i="2" s="1"/>
  <c r="E59" i="2"/>
  <c r="G59" i="2" s="1"/>
  <c r="Y59" i="2" s="1"/>
  <c r="E58" i="2"/>
  <c r="G58" i="2" s="1"/>
  <c r="Y58" i="2" s="1"/>
  <c r="E57" i="2"/>
  <c r="G57" i="2" s="1"/>
  <c r="Y57" i="2" s="1"/>
  <c r="E56" i="2"/>
  <c r="G56" i="2" s="1"/>
  <c r="Y56" i="2" s="1"/>
  <c r="E55" i="2"/>
  <c r="G55" i="2" s="1"/>
  <c r="Y55" i="2" s="1"/>
  <c r="E54" i="2"/>
  <c r="G54" i="2" s="1"/>
  <c r="Y54" i="2" s="1"/>
  <c r="E53" i="2"/>
  <c r="G53" i="2" s="1"/>
  <c r="Y53" i="2" s="1"/>
  <c r="E52" i="2"/>
  <c r="G52" i="2" s="1"/>
  <c r="Y52" i="2" s="1"/>
  <c r="E51" i="2"/>
  <c r="G51" i="2" s="1"/>
  <c r="Y51" i="2" s="1"/>
  <c r="E50" i="2"/>
  <c r="G50" i="2" s="1"/>
  <c r="Y50" i="2" s="1"/>
  <c r="E49" i="2"/>
  <c r="G49" i="2" s="1"/>
  <c r="Y49" i="2" s="1"/>
  <c r="E48" i="2"/>
  <c r="G48" i="2" s="1"/>
  <c r="Y48" i="2" s="1"/>
  <c r="E47" i="2"/>
  <c r="G47" i="2" s="1"/>
  <c r="Y47" i="2" s="1"/>
  <c r="E46" i="2"/>
  <c r="G46" i="2" s="1"/>
  <c r="Y46" i="2" s="1"/>
  <c r="E45" i="2"/>
  <c r="G45" i="2" s="1"/>
  <c r="Y45" i="2" s="1"/>
  <c r="E44" i="2"/>
  <c r="G44" i="2" s="1"/>
  <c r="Y44" i="2" s="1"/>
  <c r="E43" i="2"/>
  <c r="G43" i="2" s="1"/>
  <c r="Y43" i="2" s="1"/>
  <c r="E42" i="2"/>
  <c r="G42" i="2" s="1"/>
  <c r="Y42" i="2" s="1"/>
  <c r="E41" i="2"/>
  <c r="G41" i="2" s="1"/>
  <c r="Y41" i="2" s="1"/>
  <c r="E40" i="2"/>
  <c r="G40" i="2" s="1"/>
  <c r="Y40" i="2" s="1"/>
  <c r="E39" i="2"/>
  <c r="G39" i="2" s="1"/>
  <c r="Y39" i="2" s="1"/>
  <c r="E38" i="2"/>
  <c r="G38" i="2" s="1"/>
  <c r="Y38" i="2" s="1"/>
  <c r="E37" i="2"/>
  <c r="G37" i="2" s="1"/>
  <c r="Y37" i="2" s="1"/>
  <c r="E36" i="2"/>
  <c r="G36" i="2" s="1"/>
  <c r="Y36" i="2" s="1"/>
  <c r="E35" i="2"/>
  <c r="G35" i="2" s="1"/>
  <c r="Y35" i="2" s="1"/>
  <c r="E34" i="2"/>
  <c r="G34" i="2" s="1"/>
  <c r="Y34" i="2" s="1"/>
  <c r="E33" i="2"/>
  <c r="G33" i="2" s="1"/>
  <c r="Y33" i="2" s="1"/>
  <c r="E32" i="2"/>
  <c r="G32" i="2" s="1"/>
  <c r="Y32" i="2" s="1"/>
  <c r="E31" i="2"/>
  <c r="G31" i="2" s="1"/>
  <c r="Y31" i="2" s="1"/>
  <c r="E30" i="2"/>
  <c r="G30" i="2" s="1"/>
  <c r="Y30" i="2" s="1"/>
  <c r="E29" i="2"/>
  <c r="G29" i="2" s="1"/>
  <c r="Y29" i="2" s="1"/>
  <c r="E28" i="2"/>
  <c r="G28" i="2" s="1"/>
  <c r="Y28" i="2" s="1"/>
  <c r="E27" i="2"/>
  <c r="G27" i="2" s="1"/>
  <c r="Y27" i="2" s="1"/>
  <c r="E26" i="2"/>
  <c r="G26" i="2" s="1"/>
  <c r="Y26" i="2" s="1"/>
  <c r="E25" i="2"/>
  <c r="G25" i="2" s="1"/>
  <c r="Y25" i="2" s="1"/>
  <c r="E24" i="2"/>
  <c r="G24" i="2" s="1"/>
  <c r="Y24" i="2" s="1"/>
  <c r="E23" i="2"/>
  <c r="G23" i="2" s="1"/>
  <c r="Y23" i="2" s="1"/>
  <c r="E22" i="2"/>
  <c r="G22" i="2" s="1"/>
  <c r="Y22" i="2" s="1"/>
  <c r="E21" i="2"/>
  <c r="G21" i="2" s="1"/>
  <c r="Y21" i="2" s="1"/>
  <c r="E20" i="2"/>
  <c r="G20" i="2" s="1"/>
  <c r="Y20" i="2" s="1"/>
  <c r="E19" i="2"/>
  <c r="G19" i="2" s="1"/>
  <c r="Y19" i="2" s="1"/>
  <c r="E18" i="2"/>
  <c r="G18" i="2" s="1"/>
  <c r="Y18" i="2" s="1"/>
  <c r="E17" i="2"/>
  <c r="G17" i="2" s="1"/>
  <c r="Y17" i="2" s="1"/>
  <c r="E16" i="2"/>
  <c r="G16" i="2" s="1"/>
  <c r="Y16" i="2" s="1"/>
  <c r="E15" i="2"/>
  <c r="G15" i="2" s="1"/>
  <c r="Y15" i="2" s="1"/>
  <c r="E14" i="2"/>
  <c r="G14" i="2" s="1"/>
  <c r="Y14" i="2" s="1"/>
  <c r="E13" i="2"/>
  <c r="G13" i="2" s="1"/>
  <c r="Y13" i="2" s="1"/>
  <c r="E12" i="2"/>
  <c r="G12" i="2" s="1"/>
  <c r="Y12" i="2" s="1"/>
  <c r="E11" i="2"/>
  <c r="G11" i="2" s="1"/>
  <c r="Y11" i="2" s="1"/>
  <c r="E10" i="2"/>
  <c r="G10" i="2" s="1"/>
  <c r="Y10" i="2" s="1"/>
  <c r="E9" i="2"/>
  <c r="G9" i="2" s="1"/>
  <c r="Y9" i="2" s="1"/>
  <c r="E8" i="2"/>
  <c r="G8" i="2" s="1"/>
  <c r="E7" i="2"/>
  <c r="G7" i="2" s="1"/>
  <c r="E6" i="2"/>
  <c r="G6" i="2" s="1"/>
  <c r="Y6" i="2" s="1"/>
  <c r="X5" i="3" l="1"/>
  <c r="G260" i="2"/>
  <c r="G261" i="2"/>
  <c r="G265" i="2"/>
  <c r="G262" i="2"/>
  <c r="G263" i="2"/>
  <c r="Y7" i="2"/>
  <c r="G264" i="2"/>
  <c r="Y8" i="2"/>
  <c r="Y264" i="2" s="1"/>
  <c r="Z8" i="2"/>
  <c r="N264" i="2"/>
  <c r="M6" i="2"/>
  <c r="N6" i="2"/>
  <c r="Z6" i="2" s="1"/>
  <c r="U5" i="2"/>
  <c r="T5" i="2"/>
  <c r="F6" i="2"/>
  <c r="Z7" i="2"/>
  <c r="N263" i="2"/>
  <c r="N262" i="2"/>
  <c r="N261" i="2"/>
  <c r="N260" i="2"/>
  <c r="AB89" i="3"/>
  <c r="Y89" i="3"/>
  <c r="AB131" i="3"/>
  <c r="Y131" i="3"/>
  <c r="G6" i="3"/>
  <c r="AB6" i="3" s="1"/>
  <c r="AB46" i="3"/>
  <c r="Y46" i="3"/>
  <c r="AB68" i="3"/>
  <c r="Y68" i="3"/>
  <c r="AB195" i="3"/>
  <c r="Y195" i="3"/>
  <c r="AB217" i="3"/>
  <c r="Y217" i="3"/>
  <c r="Y237" i="3"/>
  <c r="Y27" i="3"/>
  <c r="Y153" i="3"/>
  <c r="F7" i="3"/>
  <c r="G261" i="3"/>
  <c r="G260" i="3"/>
  <c r="G259" i="3"/>
  <c r="G262" i="3"/>
  <c r="G264" i="3"/>
  <c r="O259" i="3"/>
  <c r="O262" i="3"/>
  <c r="O261" i="3"/>
  <c r="O260" i="3"/>
  <c r="AC7" i="3"/>
  <c r="O6" i="3"/>
  <c r="AC6" i="3" s="1"/>
  <c r="N6" i="3"/>
  <c r="R6" i="3" s="1"/>
  <c r="S6" i="3" s="1"/>
  <c r="AD6" i="3" s="1"/>
  <c r="AB7" i="3"/>
  <c r="AB263" i="3" s="1"/>
  <c r="G263" i="3"/>
  <c r="O263" i="3"/>
  <c r="AC8" i="3"/>
  <c r="AC263" i="3" s="1"/>
  <c r="Z262" i="2" l="1"/>
  <c r="Z260" i="2"/>
  <c r="Z263" i="2"/>
  <c r="Z261" i="2"/>
  <c r="P6" i="2"/>
  <c r="Q6" i="2" s="1"/>
  <c r="AA6" i="2" s="1"/>
  <c r="F7" i="2"/>
  <c r="M7" i="2"/>
  <c r="U6" i="2"/>
  <c r="V6" i="2"/>
  <c r="Y261" i="2"/>
  <c r="Y263" i="2"/>
  <c r="Y262" i="2"/>
  <c r="Y260" i="2"/>
  <c r="Z264" i="2"/>
  <c r="Y6" i="3"/>
  <c r="Z6" i="3" s="1"/>
  <c r="AB261" i="3"/>
  <c r="AB260" i="3"/>
  <c r="AB259" i="3"/>
  <c r="AB262" i="3"/>
  <c r="W6" i="3"/>
  <c r="X6" i="3"/>
  <c r="N7" i="3"/>
  <c r="R7" i="3" s="1"/>
  <c r="S7" i="3" s="1"/>
  <c r="AC261" i="3"/>
  <c r="AC260" i="3"/>
  <c r="AC259" i="3"/>
  <c r="AC262" i="3"/>
  <c r="F8" i="3"/>
  <c r="T6" i="2" l="1"/>
  <c r="W6" i="2"/>
  <c r="Y268" i="2"/>
  <c r="Y267" i="2"/>
  <c r="M8" i="2"/>
  <c r="F8" i="2"/>
  <c r="P7" i="2"/>
  <c r="Q7" i="2" s="1"/>
  <c r="Z267" i="2"/>
  <c r="Z268" i="2"/>
  <c r="V7" i="2"/>
  <c r="X7" i="3"/>
  <c r="N8" i="3"/>
  <c r="R8" i="3" s="1"/>
  <c r="S8" i="3" s="1"/>
  <c r="AB266" i="3"/>
  <c r="AB267" i="3"/>
  <c r="W7" i="3"/>
  <c r="Y8" i="3" s="1"/>
  <c r="AC266" i="3"/>
  <c r="AC267" i="3"/>
  <c r="F9" i="3"/>
  <c r="Y7" i="3"/>
  <c r="Z7" i="3" s="1"/>
  <c r="AD7" i="3"/>
  <c r="W7" i="2" l="1"/>
  <c r="AA7" i="2"/>
  <c r="M9" i="2"/>
  <c r="T7" i="2"/>
  <c r="F9" i="2"/>
  <c r="P8" i="2"/>
  <c r="Q8" i="2" s="1"/>
  <c r="U7" i="2"/>
  <c r="W8" i="3"/>
  <c r="AD8" i="3"/>
  <c r="N9" i="3"/>
  <c r="X8" i="3"/>
  <c r="F10" i="3"/>
  <c r="Z8" i="3"/>
  <c r="Y9" i="3" l="1"/>
  <c r="V8" i="2"/>
  <c r="W8" i="2" s="1"/>
  <c r="AA8" i="2"/>
  <c r="U8" i="2"/>
  <c r="T8" i="2"/>
  <c r="V9" i="2" s="1"/>
  <c r="M10" i="2"/>
  <c r="P9" i="2"/>
  <c r="Q9" i="2" s="1"/>
  <c r="AA9" i="2" s="1"/>
  <c r="F10" i="2"/>
  <c r="F11" i="3"/>
  <c r="N10" i="3"/>
  <c r="R10" i="3" s="1"/>
  <c r="R9" i="3"/>
  <c r="W9" i="2" l="1"/>
  <c r="F11" i="2"/>
  <c r="P10" i="2"/>
  <c r="Q10" i="2" s="1"/>
  <c r="M11" i="2"/>
  <c r="U10" i="2"/>
  <c r="T9" i="2"/>
  <c r="U9" i="2"/>
  <c r="S10" i="3"/>
  <c r="AD10" i="3" s="1"/>
  <c r="W10" i="3"/>
  <c r="S9" i="3"/>
  <c r="W9" i="3"/>
  <c r="X10" i="3"/>
  <c r="N11" i="3"/>
  <c r="R11" i="3" s="1"/>
  <c r="S11" i="3" s="1"/>
  <c r="AD11" i="3" s="1"/>
  <c r="X9" i="3"/>
  <c r="F12" i="3"/>
  <c r="F12" i="2" l="1"/>
  <c r="P11" i="2"/>
  <c r="Q11" i="2" s="1"/>
  <c r="AA10" i="2"/>
  <c r="M12" i="2"/>
  <c r="U11" i="2"/>
  <c r="V10" i="2"/>
  <c r="W10" i="2" s="1"/>
  <c r="T10" i="2"/>
  <c r="Y10" i="3"/>
  <c r="Z10" i="3" s="1"/>
  <c r="AD9" i="3"/>
  <c r="Z9" i="3"/>
  <c r="W11" i="3"/>
  <c r="X11" i="3"/>
  <c r="N12" i="3"/>
  <c r="R12" i="3" s="1"/>
  <c r="S12" i="3" s="1"/>
  <c r="AD12" i="3" s="1"/>
  <c r="Y11" i="3"/>
  <c r="Z11" i="3" s="1"/>
  <c r="F13" i="3"/>
  <c r="AA11" i="2" l="1"/>
  <c r="M13" i="2"/>
  <c r="T11" i="2"/>
  <c r="V12" i="2" s="1"/>
  <c r="F13" i="2"/>
  <c r="P12" i="2"/>
  <c r="Q12" i="2" s="1"/>
  <c r="AA12" i="2" s="1"/>
  <c r="V11" i="2"/>
  <c r="W11" i="2" s="1"/>
  <c r="N13" i="3"/>
  <c r="R13" i="3" s="1"/>
  <c r="S13" i="3" s="1"/>
  <c r="AD13" i="3" s="1"/>
  <c r="X12" i="3"/>
  <c r="W12" i="3"/>
  <c r="Y12" i="3"/>
  <c r="Z12" i="3" s="1"/>
  <c r="F14" i="3"/>
  <c r="T12" i="2" l="1"/>
  <c r="V13" i="2" s="1"/>
  <c r="U12" i="2"/>
  <c r="F14" i="2"/>
  <c r="P13" i="2"/>
  <c r="Q13" i="2" s="1"/>
  <c r="AA13" i="2" s="1"/>
  <c r="M14" i="2"/>
  <c r="W12" i="2"/>
  <c r="W13" i="3"/>
  <c r="F15" i="3"/>
  <c r="Y13" i="3"/>
  <c r="Z13" i="3" s="1"/>
  <c r="N14" i="3"/>
  <c r="R14" i="3" s="1"/>
  <c r="S14" i="3" s="1"/>
  <c r="X13" i="3"/>
  <c r="U13" i="2" l="1"/>
  <c r="F15" i="2"/>
  <c r="P14" i="2"/>
  <c r="Q14" i="2" s="1"/>
  <c r="W13" i="2"/>
  <c r="M15" i="2"/>
  <c r="T13" i="2"/>
  <c r="V14" i="2" s="1"/>
  <c r="AD14" i="3"/>
  <c r="X14" i="3"/>
  <c r="N15" i="3"/>
  <c r="R15" i="3" s="1"/>
  <c r="S15" i="3" s="1"/>
  <c r="W14" i="3"/>
  <c r="F16" i="3"/>
  <c r="Y14" i="3"/>
  <c r="Z14" i="3" s="1"/>
  <c r="W14" i="2" l="1"/>
  <c r="M16" i="2"/>
  <c r="F16" i="2"/>
  <c r="P15" i="2"/>
  <c r="Q15" i="2" s="1"/>
  <c r="AA15" i="2" s="1"/>
  <c r="AA14" i="2"/>
  <c r="U14" i="2"/>
  <c r="T14" i="2"/>
  <c r="V15" i="2" s="1"/>
  <c r="W15" i="2" s="1"/>
  <c r="F17" i="3"/>
  <c r="AD15" i="3"/>
  <c r="Y15" i="3"/>
  <c r="Z15" i="3" s="1"/>
  <c r="W15" i="3"/>
  <c r="X15" i="3"/>
  <c r="N16" i="3"/>
  <c r="F17" i="2" l="1"/>
  <c r="P16" i="2"/>
  <c r="Q16" i="2" s="1"/>
  <c r="AA16" i="2" s="1"/>
  <c r="U15" i="2"/>
  <c r="Y16" i="3"/>
  <c r="M17" i="2"/>
  <c r="U16" i="2"/>
  <c r="T15" i="2"/>
  <c r="F18" i="3"/>
  <c r="N17" i="3"/>
  <c r="R17" i="3" s="1"/>
  <c r="R16" i="3"/>
  <c r="V16" i="2" l="1"/>
  <c r="W16" i="2" s="1"/>
  <c r="S17" i="3"/>
  <c r="AD17" i="3" s="1"/>
  <c r="T16" i="2"/>
  <c r="V17" i="2" s="1"/>
  <c r="M18" i="2"/>
  <c r="F18" i="2"/>
  <c r="P17" i="2"/>
  <c r="Q17" i="2" s="1"/>
  <c r="AA17" i="2" s="1"/>
  <c r="S16" i="3"/>
  <c r="W16" i="3"/>
  <c r="W17" i="3"/>
  <c r="X16" i="3"/>
  <c r="F19" i="3"/>
  <c r="N18" i="3"/>
  <c r="X17" i="3"/>
  <c r="T17" i="2" l="1"/>
  <c r="F19" i="2"/>
  <c r="P18" i="2"/>
  <c r="Q18" i="2" s="1"/>
  <c r="AA18" i="2" s="1"/>
  <c r="U17" i="2"/>
  <c r="M19" i="2"/>
  <c r="V18" i="2"/>
  <c r="W18" i="2" s="1"/>
  <c r="W17" i="2"/>
  <c r="Y18" i="3"/>
  <c r="N19" i="3"/>
  <c r="R19" i="3" s="1"/>
  <c r="W19" i="3" s="1"/>
  <c r="R18" i="3"/>
  <c r="Y17" i="3"/>
  <c r="Z17" i="3" s="1"/>
  <c r="F20" i="3"/>
  <c r="AD16" i="3"/>
  <c r="Z16" i="3"/>
  <c r="U18" i="2" l="1"/>
  <c r="T18" i="2"/>
  <c r="M20" i="2"/>
  <c r="F20" i="2"/>
  <c r="T19" i="2"/>
  <c r="P19" i="2"/>
  <c r="Q19" i="2" s="1"/>
  <c r="AA19" i="2" s="1"/>
  <c r="F21" i="3"/>
  <c r="S19" i="3"/>
  <c r="AD19" i="3" s="1"/>
  <c r="X19" i="3"/>
  <c r="Y20" i="3" s="1"/>
  <c r="N20" i="3"/>
  <c r="S18" i="3"/>
  <c r="W18" i="3"/>
  <c r="X18" i="3"/>
  <c r="V19" i="2" l="1"/>
  <c r="U19" i="2"/>
  <c r="M21" i="2"/>
  <c r="W19" i="2"/>
  <c r="V20" i="2"/>
  <c r="F21" i="2"/>
  <c r="P20" i="2"/>
  <c r="Q20" i="2" s="1"/>
  <c r="AA20" i="2" s="1"/>
  <c r="AD18" i="3"/>
  <c r="Z18" i="3"/>
  <c r="N21" i="3"/>
  <c r="R21" i="3" s="1"/>
  <c r="F22" i="3"/>
  <c r="R20" i="3"/>
  <c r="Y19" i="3"/>
  <c r="Z19" i="3" s="1"/>
  <c r="S21" i="3" l="1"/>
  <c r="AD21" i="3" s="1"/>
  <c r="T20" i="2"/>
  <c r="U20" i="2"/>
  <c r="F22" i="2"/>
  <c r="P21" i="2"/>
  <c r="Q21" i="2" s="1"/>
  <c r="AA21" i="2" s="1"/>
  <c r="M22" i="2"/>
  <c r="W20" i="2"/>
  <c r="F23" i="3"/>
  <c r="N22" i="3"/>
  <c r="X21" i="3"/>
  <c r="W21" i="3"/>
  <c r="Y22" i="3" s="1"/>
  <c r="S20" i="3"/>
  <c r="W20" i="3"/>
  <c r="X20" i="3"/>
  <c r="V21" i="2" l="1"/>
  <c r="T21" i="2"/>
  <c r="U21" i="2"/>
  <c r="F23" i="2"/>
  <c r="P22" i="2"/>
  <c r="Q22" i="2" s="1"/>
  <c r="AA22" i="2" s="1"/>
  <c r="M23" i="2"/>
  <c r="U22" i="2"/>
  <c r="W21" i="2"/>
  <c r="Y21" i="3"/>
  <c r="Z21" i="3" s="1"/>
  <c r="N23" i="3"/>
  <c r="R22" i="3"/>
  <c r="AD20" i="3"/>
  <c r="Z20" i="3"/>
  <c r="F24" i="3"/>
  <c r="T22" i="2" l="1"/>
  <c r="V23" i="2" s="1"/>
  <c r="F24" i="2"/>
  <c r="P23" i="2"/>
  <c r="Q23" i="2" s="1"/>
  <c r="AA23" i="2" s="1"/>
  <c r="M24" i="2"/>
  <c r="V22" i="2"/>
  <c r="W22" i="2" s="1"/>
  <c r="N24" i="3"/>
  <c r="R24" i="3" s="1"/>
  <c r="F25" i="3"/>
  <c r="R23" i="3"/>
  <c r="S22" i="3"/>
  <c r="W22" i="3"/>
  <c r="X22" i="3"/>
  <c r="T23" i="2" l="1"/>
  <c r="V24" i="2" s="1"/>
  <c r="U23" i="2"/>
  <c r="F25" i="2"/>
  <c r="P24" i="2"/>
  <c r="Q24" i="2" s="1"/>
  <c r="AA24" i="2" s="1"/>
  <c r="M25" i="2"/>
  <c r="W23" i="2"/>
  <c r="Y23" i="3"/>
  <c r="S24" i="3"/>
  <c r="AD24" i="3" s="1"/>
  <c r="F26" i="3"/>
  <c r="AD22" i="3"/>
  <c r="Z22" i="3"/>
  <c r="S23" i="3"/>
  <c r="AD23" i="3" s="1"/>
  <c r="W23" i="3"/>
  <c r="N25" i="3"/>
  <c r="R25" i="3" s="1"/>
  <c r="S25" i="3" s="1"/>
  <c r="AD25" i="3" s="1"/>
  <c r="X24" i="3"/>
  <c r="W24" i="3"/>
  <c r="Y25" i="3" s="1"/>
  <c r="X23" i="3"/>
  <c r="T24" i="2" l="1"/>
  <c r="U24" i="2"/>
  <c r="F26" i="2"/>
  <c r="P25" i="2"/>
  <c r="Q25" i="2" s="1"/>
  <c r="AA25" i="2" s="1"/>
  <c r="M26" i="2"/>
  <c r="U25" i="2"/>
  <c r="W24" i="2"/>
  <c r="Z25" i="3"/>
  <c r="Y24" i="3"/>
  <c r="Z24" i="3" s="1"/>
  <c r="W25" i="3"/>
  <c r="N26" i="3"/>
  <c r="R26" i="3" s="1"/>
  <c r="X25" i="3"/>
  <c r="Z23" i="3"/>
  <c r="T25" i="2" l="1"/>
  <c r="V26" i="2" s="1"/>
  <c r="F27" i="2"/>
  <c r="P26" i="2"/>
  <c r="Q26" i="2" s="1"/>
  <c r="AA26" i="2" s="1"/>
  <c r="M27" i="2"/>
  <c r="V25" i="2"/>
  <c r="W25" i="2" s="1"/>
  <c r="S26" i="3"/>
  <c r="AD26" i="3" s="1"/>
  <c r="P26" i="3"/>
  <c r="N27" i="3" s="1"/>
  <c r="H26" i="3"/>
  <c r="F27" i="3" s="1"/>
  <c r="F28" i="3" s="1"/>
  <c r="U26" i="3"/>
  <c r="V26" i="3"/>
  <c r="Y26" i="3"/>
  <c r="T26" i="2" l="1"/>
  <c r="U26" i="2"/>
  <c r="F28" i="2"/>
  <c r="P27" i="2"/>
  <c r="Q27" i="2" s="1"/>
  <c r="AA27" i="2" s="1"/>
  <c r="Z26" i="3"/>
  <c r="M28" i="2"/>
  <c r="W26" i="2"/>
  <c r="R27" i="3"/>
  <c r="S27" i="3" s="1"/>
  <c r="AD27" i="3" s="1"/>
  <c r="F29" i="3"/>
  <c r="N28" i="3"/>
  <c r="W27" i="3" l="1"/>
  <c r="U27" i="2"/>
  <c r="T27" i="2"/>
  <c r="V28" i="2" s="1"/>
  <c r="M29" i="2"/>
  <c r="F29" i="2"/>
  <c r="P28" i="2"/>
  <c r="Q28" i="2" s="1"/>
  <c r="AA28" i="2" s="1"/>
  <c r="Z27" i="3"/>
  <c r="V27" i="2"/>
  <c r="W27" i="2" s="1"/>
  <c r="X27" i="3"/>
  <c r="F30" i="3"/>
  <c r="N29" i="3"/>
  <c r="R28" i="3"/>
  <c r="Y28" i="3"/>
  <c r="T28" i="2" l="1"/>
  <c r="F30" i="2"/>
  <c r="P29" i="2"/>
  <c r="Q29" i="2" s="1"/>
  <c r="AA29" i="2" s="1"/>
  <c r="U28" i="2"/>
  <c r="V29" i="2" s="1"/>
  <c r="W29" i="2" s="1"/>
  <c r="M30" i="2"/>
  <c r="W28" i="2"/>
  <c r="N30" i="3"/>
  <c r="R30" i="3" s="1"/>
  <c r="S28" i="3"/>
  <c r="AD28" i="3" s="1"/>
  <c r="W28" i="3"/>
  <c r="F31" i="3"/>
  <c r="X28" i="3"/>
  <c r="R29" i="3"/>
  <c r="X29" i="3" s="1"/>
  <c r="U29" i="2" l="1"/>
  <c r="T29" i="2"/>
  <c r="V30" i="2" s="1"/>
  <c r="M31" i="2"/>
  <c r="F31" i="2"/>
  <c r="P30" i="2"/>
  <c r="Q30" i="2" s="1"/>
  <c r="AA30" i="2" s="1"/>
  <c r="S30" i="3"/>
  <c r="AD30" i="3" s="1"/>
  <c r="W30" i="3"/>
  <c r="S29" i="3"/>
  <c r="AD29" i="3" s="1"/>
  <c r="W29" i="3"/>
  <c r="Y30" i="3" s="1"/>
  <c r="F32" i="3"/>
  <c r="N31" i="3"/>
  <c r="X30" i="3"/>
  <c r="Y29" i="3"/>
  <c r="Z28" i="3"/>
  <c r="Z30" i="3" l="1"/>
  <c r="T30" i="2"/>
  <c r="U30" i="2"/>
  <c r="M32" i="2"/>
  <c r="V31" i="2"/>
  <c r="W30" i="2"/>
  <c r="F32" i="2"/>
  <c r="P31" i="2"/>
  <c r="Q31" i="2" s="1"/>
  <c r="AA31" i="2" s="1"/>
  <c r="F33" i="3"/>
  <c r="N32" i="3"/>
  <c r="Z29" i="3"/>
  <c r="R31" i="3"/>
  <c r="X31" i="3" s="1"/>
  <c r="Y31" i="3"/>
  <c r="T31" i="2" l="1"/>
  <c r="U31" i="2"/>
  <c r="W31" i="2"/>
  <c r="F33" i="2"/>
  <c r="P32" i="2"/>
  <c r="Q32" i="2" s="1"/>
  <c r="AA32" i="2" s="1"/>
  <c r="M33" i="2"/>
  <c r="U32" i="2"/>
  <c r="S31" i="3"/>
  <c r="AD31" i="3" s="1"/>
  <c r="W31" i="3"/>
  <c r="Y32" i="3" s="1"/>
  <c r="F34" i="3"/>
  <c r="N33" i="3"/>
  <c r="R32" i="3"/>
  <c r="X32" i="3" s="1"/>
  <c r="M34" i="2" l="1"/>
  <c r="F34" i="2"/>
  <c r="P33" i="2"/>
  <c r="Q33" i="2" s="1"/>
  <c r="AA33" i="2" s="1"/>
  <c r="T32" i="2"/>
  <c r="V33" i="2" s="1"/>
  <c r="W33" i="2" s="1"/>
  <c r="V32" i="2"/>
  <c r="W32" i="2" s="1"/>
  <c r="F35" i="3"/>
  <c r="N34" i="3"/>
  <c r="R34" i="3" s="1"/>
  <c r="X33" i="3"/>
  <c r="S32" i="3"/>
  <c r="AD32" i="3" s="1"/>
  <c r="W32" i="3"/>
  <c r="Y33" i="3" s="1"/>
  <c r="R33" i="3"/>
  <c r="Z31" i="3"/>
  <c r="T33" i="2" l="1"/>
  <c r="U33" i="2"/>
  <c r="F35" i="2"/>
  <c r="P34" i="2"/>
  <c r="Q34" i="2" s="1"/>
  <c r="AA34" i="2" s="1"/>
  <c r="M35" i="2"/>
  <c r="S34" i="3"/>
  <c r="AD34" i="3" s="1"/>
  <c r="F36" i="3"/>
  <c r="W34" i="3"/>
  <c r="S33" i="3"/>
  <c r="AD33" i="3" s="1"/>
  <c r="W33" i="3"/>
  <c r="Y34" i="3" s="1"/>
  <c r="N35" i="3"/>
  <c r="X34" i="3"/>
  <c r="Z32" i="3"/>
  <c r="Z34" i="3" l="1"/>
  <c r="V34" i="2"/>
  <c r="T34" i="2"/>
  <c r="U34" i="2"/>
  <c r="F36" i="2"/>
  <c r="P35" i="2"/>
  <c r="Q35" i="2" s="1"/>
  <c r="AA35" i="2" s="1"/>
  <c r="Z33" i="3"/>
  <c r="M36" i="2"/>
  <c r="W34" i="2"/>
  <c r="N36" i="3"/>
  <c r="R35" i="3"/>
  <c r="Y35" i="3"/>
  <c r="F37" i="3"/>
  <c r="V35" i="2" l="1"/>
  <c r="U35" i="2"/>
  <c r="T35" i="2"/>
  <c r="V36" i="2" s="1"/>
  <c r="M37" i="2"/>
  <c r="F37" i="2"/>
  <c r="P36" i="2"/>
  <c r="Q36" i="2" s="1"/>
  <c r="AA36" i="2" s="1"/>
  <c r="W35" i="2"/>
  <c r="F38" i="3"/>
  <c r="S35" i="3"/>
  <c r="AD35" i="3" s="1"/>
  <c r="W35" i="3"/>
  <c r="N37" i="3"/>
  <c r="R37" i="3" s="1"/>
  <c r="R36" i="3"/>
  <c r="X36" i="3" s="1"/>
  <c r="X35" i="3"/>
  <c r="U36" i="2" l="1"/>
  <c r="M38" i="2"/>
  <c r="W36" i="2"/>
  <c r="T36" i="2"/>
  <c r="V37" i="2" s="1"/>
  <c r="F38" i="2"/>
  <c r="P37" i="2"/>
  <c r="Q37" i="2" s="1"/>
  <c r="AA37" i="2" s="1"/>
  <c r="Y36" i="3"/>
  <c r="S37" i="3"/>
  <c r="AD37" i="3" s="1"/>
  <c r="W37" i="3"/>
  <c r="N38" i="3"/>
  <c r="R38" i="3" s="1"/>
  <c r="S38" i="3" s="1"/>
  <c r="AD38" i="3" s="1"/>
  <c r="X37" i="3"/>
  <c r="F39" i="3"/>
  <c r="S36" i="3"/>
  <c r="AD36" i="3" s="1"/>
  <c r="W36" i="3"/>
  <c r="Y37" i="3" s="1"/>
  <c r="Z35" i="3"/>
  <c r="T37" i="2" l="1"/>
  <c r="V38" i="2" s="1"/>
  <c r="U37" i="2"/>
  <c r="F39" i="2"/>
  <c r="P38" i="2"/>
  <c r="Q38" i="2" s="1"/>
  <c r="AA38" i="2" s="1"/>
  <c r="M39" i="2"/>
  <c r="W37" i="2"/>
  <c r="Z37" i="3"/>
  <c r="Y38" i="3"/>
  <c r="Z38" i="3" s="1"/>
  <c r="X38" i="3"/>
  <c r="N39" i="3"/>
  <c r="R39" i="3" s="1"/>
  <c r="W38" i="3"/>
  <c r="F40" i="3"/>
  <c r="Z36" i="3"/>
  <c r="T38" i="2" l="1"/>
  <c r="U38" i="2"/>
  <c r="F40" i="2"/>
  <c r="P39" i="2"/>
  <c r="Q39" i="2" s="1"/>
  <c r="AA39" i="2" s="1"/>
  <c r="M40" i="2"/>
  <c r="W38" i="2"/>
  <c r="Y39" i="3"/>
  <c r="Z39" i="3" s="1"/>
  <c r="S39" i="3"/>
  <c r="AD39" i="3" s="1"/>
  <c r="W39" i="3"/>
  <c r="X39" i="3"/>
  <c r="N40" i="3"/>
  <c r="R40" i="3" s="1"/>
  <c r="F41" i="3"/>
  <c r="U39" i="2" l="1"/>
  <c r="T39" i="2"/>
  <c r="V40" i="2" s="1"/>
  <c r="F41" i="2"/>
  <c r="P40" i="2"/>
  <c r="Q40" i="2" s="1"/>
  <c r="AA40" i="2" s="1"/>
  <c r="M41" i="2"/>
  <c r="V39" i="2"/>
  <c r="W39" i="2" s="1"/>
  <c r="S40" i="3"/>
  <c r="AD40" i="3" s="1"/>
  <c r="W40" i="3"/>
  <c r="F42" i="3"/>
  <c r="Y40" i="3"/>
  <c r="N41" i="3"/>
  <c r="X40" i="3"/>
  <c r="T40" i="2" l="1"/>
  <c r="U40" i="2"/>
  <c r="F42" i="2"/>
  <c r="P41" i="2"/>
  <c r="Q41" i="2" s="1"/>
  <c r="AA41" i="2" s="1"/>
  <c r="Z40" i="3"/>
  <c r="M42" i="2"/>
  <c r="U41" i="2"/>
  <c r="W40" i="2"/>
  <c r="F43" i="3"/>
  <c r="N42" i="3"/>
  <c r="Y41" i="3"/>
  <c r="R41" i="3"/>
  <c r="T41" i="2" l="1"/>
  <c r="V42" i="2" s="1"/>
  <c r="M43" i="2"/>
  <c r="F43" i="2"/>
  <c r="P42" i="2"/>
  <c r="Q42" i="2" s="1"/>
  <c r="AA42" i="2" s="1"/>
  <c r="V41" i="2"/>
  <c r="W41" i="2" s="1"/>
  <c r="N43" i="3"/>
  <c r="R43" i="3" s="1"/>
  <c r="W43" i="3" s="1"/>
  <c r="R42" i="3"/>
  <c r="S41" i="3"/>
  <c r="AD41" i="3" s="1"/>
  <c r="W41" i="3"/>
  <c r="X41" i="3"/>
  <c r="F44" i="3"/>
  <c r="T42" i="2" l="1"/>
  <c r="F44" i="2"/>
  <c r="P43" i="2"/>
  <c r="Q43" i="2" s="1"/>
  <c r="AA43" i="2" s="1"/>
  <c r="W42" i="2"/>
  <c r="U42" i="2"/>
  <c r="M44" i="2"/>
  <c r="U43" i="2"/>
  <c r="S42" i="3"/>
  <c r="AD42" i="3" s="1"/>
  <c r="W42" i="3"/>
  <c r="X42" i="3"/>
  <c r="S43" i="3"/>
  <c r="AD43" i="3" s="1"/>
  <c r="Z41" i="3"/>
  <c r="F45" i="3"/>
  <c r="Y42" i="3"/>
  <c r="X43" i="3"/>
  <c r="Y44" i="3" s="1"/>
  <c r="N44" i="3"/>
  <c r="V43" i="2" l="1"/>
  <c r="W43" i="2" s="1"/>
  <c r="M45" i="2"/>
  <c r="T43" i="2"/>
  <c r="V44" i="2" s="1"/>
  <c r="F45" i="2"/>
  <c r="P44" i="2"/>
  <c r="Q44" i="2" s="1"/>
  <c r="AA44" i="2" s="1"/>
  <c r="Z42" i="3"/>
  <c r="N45" i="3"/>
  <c r="R45" i="3" s="1"/>
  <c r="R44" i="3"/>
  <c r="Y43" i="3"/>
  <c r="Z43" i="3" s="1"/>
  <c r="W44" i="2" l="1"/>
  <c r="P45" i="3"/>
  <c r="N46" i="3" s="1"/>
  <c r="H45" i="3"/>
  <c r="F46" i="3" s="1"/>
  <c r="F46" i="2"/>
  <c r="P45" i="2"/>
  <c r="Q45" i="2" s="1"/>
  <c r="AA45" i="2" s="1"/>
  <c r="U44" i="2"/>
  <c r="T44" i="2"/>
  <c r="V45" i="2" s="1"/>
  <c r="W45" i="2" s="1"/>
  <c r="M46" i="2"/>
  <c r="S45" i="3"/>
  <c r="AD45" i="3" s="1"/>
  <c r="S44" i="3"/>
  <c r="W44" i="3"/>
  <c r="U45" i="3"/>
  <c r="X44" i="3"/>
  <c r="F47" i="3"/>
  <c r="V45" i="3"/>
  <c r="U45" i="2" l="1"/>
  <c r="T45" i="2"/>
  <c r="V46" i="2" s="1"/>
  <c r="M47" i="2"/>
  <c r="F47" i="2"/>
  <c r="P46" i="2"/>
  <c r="Q46" i="2" s="1"/>
  <c r="AA46" i="2" s="1"/>
  <c r="N47" i="3"/>
  <c r="R47" i="3" s="1"/>
  <c r="W47" i="3" s="1"/>
  <c r="Y45" i="3"/>
  <c r="Z45" i="3" s="1"/>
  <c r="R46" i="3"/>
  <c r="X46" i="3" s="1"/>
  <c r="F48" i="3"/>
  <c r="AD44" i="3"/>
  <c r="Z44" i="3"/>
  <c r="W46" i="2" l="1"/>
  <c r="T46" i="2"/>
  <c r="U46" i="2"/>
  <c r="F48" i="2"/>
  <c r="P47" i="2"/>
  <c r="Q47" i="2" s="1"/>
  <c r="AA47" i="2" s="1"/>
  <c r="M48" i="2"/>
  <c r="S47" i="3"/>
  <c r="AD47" i="3" s="1"/>
  <c r="F49" i="3"/>
  <c r="S46" i="3"/>
  <c r="W46" i="3"/>
  <c r="Y47" i="3" s="1"/>
  <c r="X47" i="3"/>
  <c r="Y48" i="3" s="1"/>
  <c r="N48" i="3"/>
  <c r="V47" i="2" l="1"/>
  <c r="T47" i="2"/>
  <c r="F49" i="2"/>
  <c r="P48" i="2"/>
  <c r="Q48" i="2" s="1"/>
  <c r="AA48" i="2" s="1"/>
  <c r="Z47" i="3"/>
  <c r="U47" i="2"/>
  <c r="M49" i="2"/>
  <c r="W47" i="2"/>
  <c r="N49" i="3"/>
  <c r="R49" i="3" s="1"/>
  <c r="W49" i="3" s="1"/>
  <c r="R48" i="3"/>
  <c r="F50" i="3"/>
  <c r="AD46" i="3"/>
  <c r="Z46" i="3"/>
  <c r="U48" i="2" l="1"/>
  <c r="M50" i="2"/>
  <c r="T48" i="2"/>
  <c r="V49" i="2" s="1"/>
  <c r="F50" i="2"/>
  <c r="P49" i="2"/>
  <c r="Q49" i="2" s="1"/>
  <c r="AA49" i="2" s="1"/>
  <c r="V48" i="2"/>
  <c r="W48" i="2" s="1"/>
  <c r="S48" i="3"/>
  <c r="W48" i="3"/>
  <c r="X48" i="3"/>
  <c r="S49" i="3"/>
  <c r="AD49" i="3" s="1"/>
  <c r="N50" i="3"/>
  <c r="R50" i="3" s="1"/>
  <c r="S50" i="3" s="1"/>
  <c r="AD50" i="3" s="1"/>
  <c r="X49" i="3"/>
  <c r="Y50" i="3" s="1"/>
  <c r="F51" i="3"/>
  <c r="W49" i="2" l="1"/>
  <c r="U49" i="2"/>
  <c r="T49" i="2"/>
  <c r="M51" i="2"/>
  <c r="F51" i="2"/>
  <c r="P50" i="2"/>
  <c r="Q50" i="2" s="1"/>
  <c r="AA50" i="2" s="1"/>
  <c r="Z50" i="3"/>
  <c r="Y49" i="3"/>
  <c r="Z49" i="3" s="1"/>
  <c r="F52" i="3"/>
  <c r="N51" i="3"/>
  <c r="R51" i="3" s="1"/>
  <c r="S51" i="3" s="1"/>
  <c r="AD51" i="3" s="1"/>
  <c r="X50" i="3"/>
  <c r="W50" i="3"/>
  <c r="AD48" i="3"/>
  <c r="Z48" i="3"/>
  <c r="U50" i="2" l="1"/>
  <c r="V50" i="2"/>
  <c r="M52" i="2"/>
  <c r="T50" i="2"/>
  <c r="V51" i="2" s="1"/>
  <c r="W50" i="2"/>
  <c r="Y51" i="3"/>
  <c r="Z51" i="3" s="1"/>
  <c r="F52" i="2"/>
  <c r="P51" i="2"/>
  <c r="Q51" i="2" s="1"/>
  <c r="AA51" i="2" s="1"/>
  <c r="W51" i="3"/>
  <c r="F53" i="3"/>
  <c r="X51" i="3"/>
  <c r="N52" i="3"/>
  <c r="W51" i="2" l="1"/>
  <c r="T51" i="2"/>
  <c r="F53" i="2"/>
  <c r="P52" i="2"/>
  <c r="Q52" i="2" s="1"/>
  <c r="AA52" i="2" s="1"/>
  <c r="U51" i="2"/>
  <c r="M53" i="2"/>
  <c r="U52" i="2"/>
  <c r="Y52" i="3"/>
  <c r="F54" i="3"/>
  <c r="N53" i="3"/>
  <c r="R53" i="3" s="1"/>
  <c r="R52" i="3"/>
  <c r="T52" i="2" l="1"/>
  <c r="V53" i="2"/>
  <c r="M54" i="2"/>
  <c r="F54" i="2"/>
  <c r="P53" i="2"/>
  <c r="Q53" i="2" s="1"/>
  <c r="AA53" i="2" s="1"/>
  <c r="V52" i="2"/>
  <c r="W52" i="2" s="1"/>
  <c r="S53" i="3"/>
  <c r="AD53" i="3" s="1"/>
  <c r="S52" i="3"/>
  <c r="W52" i="3"/>
  <c r="F55" i="3"/>
  <c r="N54" i="3"/>
  <c r="X53" i="3"/>
  <c r="W53" i="3"/>
  <c r="X52" i="3"/>
  <c r="T53" i="2" l="1"/>
  <c r="U53" i="2"/>
  <c r="W53" i="2"/>
  <c r="F55" i="2"/>
  <c r="P54" i="2"/>
  <c r="Q54" i="2" s="1"/>
  <c r="AA54" i="2" s="1"/>
  <c r="Y54" i="3"/>
  <c r="M55" i="2"/>
  <c r="V54" i="2"/>
  <c r="W54" i="2" s="1"/>
  <c r="Y53" i="3"/>
  <c r="Z53" i="3" s="1"/>
  <c r="F56" i="3"/>
  <c r="N55" i="3"/>
  <c r="R55" i="3" s="1"/>
  <c r="R54" i="3"/>
  <c r="AD52" i="3"/>
  <c r="Z52" i="3"/>
  <c r="U54" i="2" l="1"/>
  <c r="T54" i="2"/>
  <c r="V55" i="2" s="1"/>
  <c r="M56" i="2"/>
  <c r="F56" i="2"/>
  <c r="P55" i="2"/>
  <c r="Q55" i="2" s="1"/>
  <c r="AA55" i="2" s="1"/>
  <c r="S55" i="3"/>
  <c r="AD55" i="3" s="1"/>
  <c r="S54" i="3"/>
  <c r="W54" i="3"/>
  <c r="F57" i="3"/>
  <c r="X54" i="3"/>
  <c r="W55" i="3"/>
  <c r="X55" i="3"/>
  <c r="N56" i="3"/>
  <c r="U55" i="2" l="1"/>
  <c r="M57" i="2"/>
  <c r="W55" i="2"/>
  <c r="T55" i="2"/>
  <c r="V56" i="2" s="1"/>
  <c r="F57" i="2"/>
  <c r="P56" i="2"/>
  <c r="Q56" i="2" s="1"/>
  <c r="AA56" i="2" s="1"/>
  <c r="N57" i="3"/>
  <c r="R57" i="3" s="1"/>
  <c r="Y56" i="3"/>
  <c r="R56" i="3"/>
  <c r="X56" i="3" s="1"/>
  <c r="Y55" i="3"/>
  <c r="Z55" i="3" s="1"/>
  <c r="F58" i="3"/>
  <c r="AD54" i="3"/>
  <c r="Z54" i="3"/>
  <c r="W56" i="2" l="1"/>
  <c r="T56" i="2"/>
  <c r="U56" i="2"/>
  <c r="F58" i="2"/>
  <c r="P57" i="2"/>
  <c r="Q57" i="2" s="1"/>
  <c r="AA57" i="2" s="1"/>
  <c r="M58" i="2"/>
  <c r="U57" i="2"/>
  <c r="S57" i="3"/>
  <c r="AD57" i="3" s="1"/>
  <c r="F59" i="3"/>
  <c r="W57" i="3"/>
  <c r="S56" i="3"/>
  <c r="AD56" i="3" s="1"/>
  <c r="W56" i="3"/>
  <c r="Y57" i="3" s="1"/>
  <c r="N58" i="3"/>
  <c r="X57" i="3"/>
  <c r="Z57" i="3" l="1"/>
  <c r="T57" i="2"/>
  <c r="V58" i="2" s="1"/>
  <c r="V57" i="2"/>
  <c r="F59" i="2"/>
  <c r="P58" i="2"/>
  <c r="Q58" i="2" s="1"/>
  <c r="AA58" i="2" s="1"/>
  <c r="M59" i="2"/>
  <c r="W57" i="2"/>
  <c r="Y58" i="3"/>
  <c r="Z56" i="3"/>
  <c r="N59" i="3"/>
  <c r="R59" i="3" s="1"/>
  <c r="R58" i="3"/>
  <c r="F60" i="3"/>
  <c r="T58" i="2" l="1"/>
  <c r="U58" i="2"/>
  <c r="F60" i="2"/>
  <c r="P59" i="2"/>
  <c r="Q59" i="2" s="1"/>
  <c r="AA59" i="2" s="1"/>
  <c r="M60" i="2"/>
  <c r="U59" i="2"/>
  <c r="W58" i="2"/>
  <c r="S59" i="3"/>
  <c r="AD59" i="3" s="1"/>
  <c r="W59" i="3"/>
  <c r="S58" i="3"/>
  <c r="W58" i="3"/>
  <c r="F61" i="3"/>
  <c r="X58" i="3"/>
  <c r="X59" i="3"/>
  <c r="N60" i="3"/>
  <c r="R60" i="3" s="1"/>
  <c r="S60" i="3" s="1"/>
  <c r="AD60" i="3" s="1"/>
  <c r="T59" i="2" l="1"/>
  <c r="V60" i="2" s="1"/>
  <c r="W60" i="2" s="1"/>
  <c r="F61" i="2"/>
  <c r="P60" i="2"/>
  <c r="Q60" i="2" s="1"/>
  <c r="AA60" i="2" s="1"/>
  <c r="M61" i="2"/>
  <c r="V59" i="2"/>
  <c r="W59" i="2" s="1"/>
  <c r="Y59" i="3"/>
  <c r="Z59" i="3" s="1"/>
  <c r="W60" i="3"/>
  <c r="AD58" i="3"/>
  <c r="Z58" i="3"/>
  <c r="N61" i="3"/>
  <c r="R61" i="3" s="1"/>
  <c r="X60" i="3"/>
  <c r="F62" i="3"/>
  <c r="Y60" i="3"/>
  <c r="Z60" i="3" s="1"/>
  <c r="U60" i="2" l="1"/>
  <c r="T60" i="2"/>
  <c r="M62" i="2"/>
  <c r="F62" i="2"/>
  <c r="P61" i="2"/>
  <c r="Q61" i="2" s="1"/>
  <c r="AA61" i="2" s="1"/>
  <c r="S61" i="3"/>
  <c r="AD61" i="3" s="1"/>
  <c r="W61" i="3"/>
  <c r="F63" i="3"/>
  <c r="Y61" i="3"/>
  <c r="N62" i="3"/>
  <c r="X61" i="3"/>
  <c r="V61" i="2" l="1"/>
  <c r="U61" i="2"/>
  <c r="M63" i="2"/>
  <c r="W61" i="2"/>
  <c r="T61" i="2"/>
  <c r="V62" i="2" s="1"/>
  <c r="F63" i="2"/>
  <c r="P62" i="2"/>
  <c r="Q62" i="2" s="1"/>
  <c r="AA62" i="2" s="1"/>
  <c r="Z61" i="3"/>
  <c r="Y62" i="3"/>
  <c r="N63" i="3"/>
  <c r="R63" i="3" s="1"/>
  <c r="F64" i="3"/>
  <c r="R62" i="3"/>
  <c r="W62" i="2" l="1"/>
  <c r="T62" i="2"/>
  <c r="U62" i="2"/>
  <c r="F64" i="2"/>
  <c r="P63" i="2"/>
  <c r="Q63" i="2" s="1"/>
  <c r="AA63" i="2" s="1"/>
  <c r="M64" i="2"/>
  <c r="U63" i="2"/>
  <c r="S63" i="3"/>
  <c r="AD63" i="3" s="1"/>
  <c r="F65" i="3"/>
  <c r="S62" i="3"/>
  <c r="AD62" i="3" s="1"/>
  <c r="W62" i="3"/>
  <c r="X62" i="3"/>
  <c r="W63" i="3"/>
  <c r="X63" i="3"/>
  <c r="N64" i="3"/>
  <c r="T63" i="2" l="1"/>
  <c r="V64" i="2" s="1"/>
  <c r="F65" i="2"/>
  <c r="P64" i="2"/>
  <c r="Q64" i="2" s="1"/>
  <c r="AA64" i="2" s="1"/>
  <c r="M65" i="2"/>
  <c r="V63" i="2"/>
  <c r="W63" i="2" s="1"/>
  <c r="Y63" i="3"/>
  <c r="Z63" i="3" s="1"/>
  <c r="Y64" i="3"/>
  <c r="Z62" i="3"/>
  <c r="F66" i="3"/>
  <c r="N65" i="3"/>
  <c r="R65" i="3" s="1"/>
  <c r="R64" i="3"/>
  <c r="M66" i="2" l="1"/>
  <c r="T64" i="2"/>
  <c r="W64" i="2"/>
  <c r="U64" i="2"/>
  <c r="F66" i="2"/>
  <c r="P65" i="2"/>
  <c r="Q65" i="2" s="1"/>
  <c r="AA65" i="2" s="1"/>
  <c r="S64" i="3"/>
  <c r="AD64" i="3" s="1"/>
  <c r="W64" i="3"/>
  <c r="S65" i="3"/>
  <c r="AD65" i="3" s="1"/>
  <c r="X64" i="3"/>
  <c r="F67" i="3"/>
  <c r="N66" i="3"/>
  <c r="X65" i="3"/>
  <c r="W65" i="3"/>
  <c r="Z64" i="3"/>
  <c r="V65" i="2" l="1"/>
  <c r="W65" i="2" s="1"/>
  <c r="T65" i="2"/>
  <c r="F67" i="2"/>
  <c r="P66" i="2"/>
  <c r="Q66" i="2" s="1"/>
  <c r="AA66" i="2" s="1"/>
  <c r="U65" i="2"/>
  <c r="M67" i="2"/>
  <c r="N67" i="3"/>
  <c r="R67" i="3" s="1"/>
  <c r="R66" i="3"/>
  <c r="Y66" i="3"/>
  <c r="Y65" i="3"/>
  <c r="Z65" i="3" s="1"/>
  <c r="U66" i="2" l="1"/>
  <c r="T66" i="2"/>
  <c r="V67" i="2" s="1"/>
  <c r="M68" i="2"/>
  <c r="F68" i="2"/>
  <c r="P67" i="2"/>
  <c r="Q67" i="2" s="1"/>
  <c r="AA67" i="2" s="1"/>
  <c r="V66" i="2"/>
  <c r="W66" i="2" s="1"/>
  <c r="H67" i="3"/>
  <c r="F68" i="3" s="1"/>
  <c r="R68" i="3" s="1"/>
  <c r="P67" i="3"/>
  <c r="N68" i="3" s="1"/>
  <c r="S67" i="3"/>
  <c r="AD67" i="3" s="1"/>
  <c r="U67" i="3"/>
  <c r="S66" i="3"/>
  <c r="AD66" i="3" s="1"/>
  <c r="W66" i="3"/>
  <c r="X66" i="3"/>
  <c r="V67" i="3"/>
  <c r="W67" i="2" l="1"/>
  <c r="T67" i="2"/>
  <c r="F69" i="2"/>
  <c r="P68" i="2"/>
  <c r="Q68" i="2" s="1"/>
  <c r="AA68" i="2" s="1"/>
  <c r="F69" i="3"/>
  <c r="F70" i="3" s="1"/>
  <c r="U67" i="2"/>
  <c r="V68" i="2" s="1"/>
  <c r="W68" i="2" s="1"/>
  <c r="M69" i="2"/>
  <c r="S68" i="3"/>
  <c r="AD68" i="3" s="1"/>
  <c r="W68" i="3"/>
  <c r="N69" i="3"/>
  <c r="X68" i="3"/>
  <c r="Z66" i="3"/>
  <c r="Y67" i="3"/>
  <c r="Z67" i="3" s="1"/>
  <c r="Z68" i="3" l="1"/>
  <c r="U68" i="2"/>
  <c r="T68" i="2"/>
  <c r="V69" i="2" s="1"/>
  <c r="M70" i="2"/>
  <c r="F70" i="2"/>
  <c r="P69" i="2"/>
  <c r="Q69" i="2" s="1"/>
  <c r="AA69" i="2" s="1"/>
  <c r="N70" i="3"/>
  <c r="R70" i="3" s="1"/>
  <c r="R69" i="3"/>
  <c r="Y69" i="3"/>
  <c r="F71" i="3"/>
  <c r="W69" i="2" l="1"/>
  <c r="U69" i="2"/>
  <c r="M71" i="2"/>
  <c r="T69" i="2"/>
  <c r="V70" i="2" s="1"/>
  <c r="F71" i="2"/>
  <c r="P70" i="2"/>
  <c r="Q70" i="2" s="1"/>
  <c r="AA70" i="2" s="1"/>
  <c r="S70" i="3"/>
  <c r="AD70" i="3" s="1"/>
  <c r="W70" i="3"/>
  <c r="F72" i="3"/>
  <c r="S69" i="3"/>
  <c r="AD69" i="3" s="1"/>
  <c r="W69" i="3"/>
  <c r="X69" i="3"/>
  <c r="X70" i="3"/>
  <c r="N71" i="3"/>
  <c r="W70" i="2" l="1"/>
  <c r="F72" i="2"/>
  <c r="P71" i="2"/>
  <c r="Q71" i="2" s="1"/>
  <c r="AA71" i="2" s="1"/>
  <c r="U70" i="2"/>
  <c r="T70" i="2"/>
  <c r="M72" i="2"/>
  <c r="Y70" i="3"/>
  <c r="Z70" i="3" s="1"/>
  <c r="N72" i="3"/>
  <c r="R72" i="3" s="1"/>
  <c r="Y71" i="3"/>
  <c r="F73" i="3"/>
  <c r="Z69" i="3"/>
  <c r="R71" i="3"/>
  <c r="M73" i="2" l="1"/>
  <c r="T71" i="2"/>
  <c r="U71" i="2"/>
  <c r="V71" i="2"/>
  <c r="W71" i="2" s="1"/>
  <c r="F73" i="2"/>
  <c r="P72" i="2"/>
  <c r="Q72" i="2" s="1"/>
  <c r="AA72" i="2" s="1"/>
  <c r="N73" i="3"/>
  <c r="R73" i="3" s="1"/>
  <c r="S73" i="3" s="1"/>
  <c r="AD73" i="3" s="1"/>
  <c r="X72" i="3"/>
  <c r="S71" i="3"/>
  <c r="AD71" i="3" s="1"/>
  <c r="W71" i="3"/>
  <c r="S72" i="3"/>
  <c r="AD72" i="3" s="1"/>
  <c r="F74" i="3"/>
  <c r="W72" i="3"/>
  <c r="X71" i="3"/>
  <c r="Y73" i="3" l="1"/>
  <c r="Y72" i="3"/>
  <c r="Z72" i="3" s="1"/>
  <c r="T72" i="2"/>
  <c r="V72" i="2"/>
  <c r="W72" i="2" s="1"/>
  <c r="F74" i="2"/>
  <c r="P73" i="2"/>
  <c r="Q73" i="2" s="1"/>
  <c r="AA73" i="2" s="1"/>
  <c r="U72" i="2"/>
  <c r="M74" i="2"/>
  <c r="W73" i="3"/>
  <c r="Z73" i="3"/>
  <c r="F75" i="3"/>
  <c r="Z71" i="3"/>
  <c r="N74" i="3"/>
  <c r="R74" i="3" s="1"/>
  <c r="S74" i="3" s="1"/>
  <c r="AD74" i="3" s="1"/>
  <c r="X73" i="3"/>
  <c r="U73" i="2" l="1"/>
  <c r="T73" i="2"/>
  <c r="V74" i="2"/>
  <c r="M75" i="2"/>
  <c r="F75" i="2"/>
  <c r="P74" i="2"/>
  <c r="Q74" i="2" s="1"/>
  <c r="AA74" i="2" s="1"/>
  <c r="Y74" i="3"/>
  <c r="Z74" i="3" s="1"/>
  <c r="V73" i="2"/>
  <c r="W73" i="2" s="1"/>
  <c r="W74" i="3"/>
  <c r="N75" i="3"/>
  <c r="R75" i="3" s="1"/>
  <c r="X74" i="3"/>
  <c r="F76" i="3"/>
  <c r="U74" i="2" l="1"/>
  <c r="M76" i="2"/>
  <c r="F76" i="2"/>
  <c r="P75" i="2"/>
  <c r="Q75" i="2" s="1"/>
  <c r="AA75" i="2" s="1"/>
  <c r="T74" i="2"/>
  <c r="V75" i="2" s="1"/>
  <c r="W75" i="2" s="1"/>
  <c r="W74" i="2"/>
  <c r="S75" i="3"/>
  <c r="AD75" i="3" s="1"/>
  <c r="W75" i="3"/>
  <c r="X75" i="3"/>
  <c r="N76" i="3"/>
  <c r="R76" i="3" s="1"/>
  <c r="S76" i="3" s="1"/>
  <c r="AD76" i="3" s="1"/>
  <c r="F77" i="3"/>
  <c r="Y75" i="3"/>
  <c r="Y76" i="3" l="1"/>
  <c r="U75" i="2"/>
  <c r="F77" i="2"/>
  <c r="P76" i="2"/>
  <c r="Q76" i="2" s="1"/>
  <c r="AA76" i="2" s="1"/>
  <c r="M77" i="2"/>
  <c r="T75" i="2"/>
  <c r="V76" i="2" s="1"/>
  <c r="Z75" i="3"/>
  <c r="Z76" i="3"/>
  <c r="N77" i="3"/>
  <c r="R77" i="3" s="1"/>
  <c r="X76" i="3"/>
  <c r="W76" i="3"/>
  <c r="F78" i="3"/>
  <c r="M78" i="2" l="1"/>
  <c r="W76" i="2"/>
  <c r="T76" i="2"/>
  <c r="V77" i="2" s="1"/>
  <c r="U76" i="2"/>
  <c r="F78" i="2"/>
  <c r="P77" i="2"/>
  <c r="Q77" i="2" s="1"/>
  <c r="AA77" i="2" s="1"/>
  <c r="Y77" i="3"/>
  <c r="S77" i="3"/>
  <c r="AD77" i="3" s="1"/>
  <c r="W77" i="3"/>
  <c r="F79" i="3"/>
  <c r="N78" i="3"/>
  <c r="X77" i="3"/>
  <c r="W77" i="2" l="1"/>
  <c r="T77" i="2"/>
  <c r="F79" i="2"/>
  <c r="P78" i="2"/>
  <c r="Q78" i="2" s="1"/>
  <c r="AA78" i="2" s="1"/>
  <c r="U77" i="2"/>
  <c r="M79" i="2"/>
  <c r="Z77" i="3"/>
  <c r="Y78" i="3"/>
  <c r="N79" i="3"/>
  <c r="F80" i="3"/>
  <c r="R78" i="3"/>
  <c r="T78" i="2" l="1"/>
  <c r="M80" i="2"/>
  <c r="F80" i="2"/>
  <c r="P79" i="2"/>
  <c r="Q79" i="2" s="1"/>
  <c r="AA79" i="2" s="1"/>
  <c r="U78" i="2"/>
  <c r="V78" i="2"/>
  <c r="W78" i="2" s="1"/>
  <c r="F81" i="3"/>
  <c r="N80" i="3"/>
  <c r="R80" i="3" s="1"/>
  <c r="S78" i="3"/>
  <c r="AD78" i="3" s="1"/>
  <c r="W78" i="3"/>
  <c r="X78" i="3"/>
  <c r="R79" i="3"/>
  <c r="X79" i="3" s="1"/>
  <c r="T79" i="2" l="1"/>
  <c r="U79" i="2"/>
  <c r="F81" i="2"/>
  <c r="P80" i="2"/>
  <c r="Q80" i="2" s="1"/>
  <c r="AA80" i="2" s="1"/>
  <c r="M81" i="2"/>
  <c r="V79" i="2"/>
  <c r="W79" i="2" s="1"/>
  <c r="Z78" i="3"/>
  <c r="S80" i="3"/>
  <c r="AD80" i="3" s="1"/>
  <c r="Y79" i="3"/>
  <c r="W80" i="3"/>
  <c r="S79" i="3"/>
  <c r="AD79" i="3" s="1"/>
  <c r="W79" i="3"/>
  <c r="Y80" i="3" s="1"/>
  <c r="N81" i="3"/>
  <c r="R81" i="3" s="1"/>
  <c r="X80" i="3"/>
  <c r="F82" i="3"/>
  <c r="Z80" i="3" l="1"/>
  <c r="V80" i="2"/>
  <c r="M82" i="2"/>
  <c r="W80" i="2"/>
  <c r="T80" i="2"/>
  <c r="U80" i="2"/>
  <c r="F82" i="2"/>
  <c r="P81" i="2"/>
  <c r="Q81" i="2" s="1"/>
  <c r="AA81" i="2" s="1"/>
  <c r="S81" i="3"/>
  <c r="AD81" i="3" s="1"/>
  <c r="W81" i="3"/>
  <c r="Y81" i="3"/>
  <c r="Z81" i="3" s="1"/>
  <c r="F83" i="3"/>
  <c r="X81" i="3"/>
  <c r="N82" i="3"/>
  <c r="Z79" i="3"/>
  <c r="V81" i="2" l="1"/>
  <c r="T81" i="2"/>
  <c r="F83" i="2"/>
  <c r="P82" i="2"/>
  <c r="Q82" i="2" s="1"/>
  <c r="AA82" i="2" s="1"/>
  <c r="U81" i="2"/>
  <c r="W81" i="2"/>
  <c r="M83" i="2"/>
  <c r="U82" i="2"/>
  <c r="N83" i="3"/>
  <c r="R82" i="3"/>
  <c r="R83" i="3"/>
  <c r="F84" i="3"/>
  <c r="Y82" i="3"/>
  <c r="S83" i="3" l="1"/>
  <c r="AD83" i="3" s="1"/>
  <c r="T82" i="2"/>
  <c r="V83" i="2" s="1"/>
  <c r="M84" i="2"/>
  <c r="F84" i="2"/>
  <c r="P83" i="2"/>
  <c r="Q83" i="2" s="1"/>
  <c r="AA83" i="2" s="1"/>
  <c r="V82" i="2"/>
  <c r="W82" i="2" s="1"/>
  <c r="W83" i="3"/>
  <c r="S82" i="3"/>
  <c r="AD82" i="3" s="1"/>
  <c r="W82" i="3"/>
  <c r="F85" i="3"/>
  <c r="N84" i="3"/>
  <c r="R84" i="3" s="1"/>
  <c r="X83" i="3"/>
  <c r="X82" i="3"/>
  <c r="Y84" i="3" l="1"/>
  <c r="T83" i="2"/>
  <c r="U83" i="2"/>
  <c r="W83" i="2"/>
  <c r="F85" i="2"/>
  <c r="P84" i="2"/>
  <c r="Q84" i="2" s="1"/>
  <c r="AA84" i="2" s="1"/>
  <c r="M85" i="2"/>
  <c r="Y83" i="3"/>
  <c r="Z83" i="3" s="1"/>
  <c r="S84" i="3"/>
  <c r="AD84" i="3" s="1"/>
  <c r="W84" i="3"/>
  <c r="Z82" i="3"/>
  <c r="X84" i="3"/>
  <c r="N85" i="3"/>
  <c r="R85" i="3" s="1"/>
  <c r="S85" i="3" s="1"/>
  <c r="AD85" i="3" s="1"/>
  <c r="F86" i="3"/>
  <c r="V84" i="2" l="1"/>
  <c r="Z84" i="3"/>
  <c r="W84" i="2"/>
  <c r="T84" i="2"/>
  <c r="M86" i="2"/>
  <c r="U84" i="2"/>
  <c r="F86" i="2"/>
  <c r="T85" i="2"/>
  <c r="P85" i="2"/>
  <c r="Q85" i="2" s="1"/>
  <c r="AA85" i="2" s="1"/>
  <c r="W85" i="3"/>
  <c r="X85" i="3"/>
  <c r="N86" i="3"/>
  <c r="Y85" i="3"/>
  <c r="Z85" i="3" s="1"/>
  <c r="F87" i="3"/>
  <c r="V85" i="2" l="1"/>
  <c r="W85" i="2" s="1"/>
  <c r="M87" i="2"/>
  <c r="F87" i="2"/>
  <c r="P86" i="2"/>
  <c r="Q86" i="2" s="1"/>
  <c r="AA86" i="2" s="1"/>
  <c r="U85" i="2"/>
  <c r="V86" i="2" s="1"/>
  <c r="W86" i="2" s="1"/>
  <c r="N87" i="3"/>
  <c r="R87" i="3" s="1"/>
  <c r="F88" i="3"/>
  <c r="R86" i="3"/>
  <c r="Y86" i="3"/>
  <c r="T86" i="2" l="1"/>
  <c r="F88" i="2"/>
  <c r="P87" i="2"/>
  <c r="Q87" i="2" s="1"/>
  <c r="AA87" i="2" s="1"/>
  <c r="U86" i="2"/>
  <c r="V87" i="2"/>
  <c r="W87" i="2" s="1"/>
  <c r="M88" i="2"/>
  <c r="U87" i="2"/>
  <c r="S87" i="3"/>
  <c r="AD87" i="3" s="1"/>
  <c r="W87" i="3"/>
  <c r="S86" i="3"/>
  <c r="AD86" i="3" s="1"/>
  <c r="W86" i="3"/>
  <c r="X86" i="3"/>
  <c r="N88" i="3"/>
  <c r="X87" i="3"/>
  <c r="T87" i="2" l="1"/>
  <c r="V88" i="2" s="1"/>
  <c r="F89" i="2"/>
  <c r="P88" i="2"/>
  <c r="Q88" i="2" s="1"/>
  <c r="AA88" i="2" s="1"/>
  <c r="M89" i="2"/>
  <c r="Z86" i="3"/>
  <c r="Y87" i="3"/>
  <c r="Z87" i="3" s="1"/>
  <c r="R88" i="3"/>
  <c r="Y88" i="3"/>
  <c r="W88" i="2" l="1"/>
  <c r="T88" i="2"/>
  <c r="M90" i="2"/>
  <c r="U88" i="2"/>
  <c r="F90" i="2"/>
  <c r="P89" i="2"/>
  <c r="Q89" i="2" s="1"/>
  <c r="AA89" i="2" s="1"/>
  <c r="H88" i="3"/>
  <c r="F89" i="3" s="1"/>
  <c r="P88" i="3"/>
  <c r="N89" i="3" s="1"/>
  <c r="N90" i="3" s="1"/>
  <c r="S88" i="3"/>
  <c r="AD88" i="3" s="1"/>
  <c r="U88" i="3"/>
  <c r="V88" i="3"/>
  <c r="V89" i="2" l="1"/>
  <c r="U89" i="2"/>
  <c r="T89" i="2"/>
  <c r="V90" i="2" s="1"/>
  <c r="M91" i="2"/>
  <c r="W89" i="2"/>
  <c r="F91" i="2"/>
  <c r="P90" i="2"/>
  <c r="Q90" i="2" s="1"/>
  <c r="AA90" i="2" s="1"/>
  <c r="R89" i="3"/>
  <c r="F90" i="3"/>
  <c r="F91" i="3" s="1"/>
  <c r="F92" i="3" s="1"/>
  <c r="N91" i="3"/>
  <c r="Z88" i="3"/>
  <c r="T90" i="2" l="1"/>
  <c r="W90" i="2"/>
  <c r="M92" i="2"/>
  <c r="W89" i="3"/>
  <c r="S89" i="3"/>
  <c r="X89" i="3"/>
  <c r="F92" i="2"/>
  <c r="P91" i="2"/>
  <c r="Q91" i="2" s="1"/>
  <c r="AA91" i="2" s="1"/>
  <c r="U90" i="2"/>
  <c r="V91" i="2" s="1"/>
  <c r="R90" i="3"/>
  <c r="W90" i="3" s="1"/>
  <c r="N92" i="3"/>
  <c r="R92" i="3" s="1"/>
  <c r="F93" i="3"/>
  <c r="R91" i="3"/>
  <c r="W91" i="2" l="1"/>
  <c r="F93" i="2"/>
  <c r="P92" i="2"/>
  <c r="Q92" i="2" s="1"/>
  <c r="AA92" i="2" s="1"/>
  <c r="S90" i="3"/>
  <c r="AD90" i="3" s="1"/>
  <c r="X90" i="3"/>
  <c r="Y91" i="3" s="1"/>
  <c r="U91" i="2"/>
  <c r="AD89" i="3"/>
  <c r="Z89" i="3"/>
  <c r="T91" i="2"/>
  <c r="Y90" i="3"/>
  <c r="M93" i="2"/>
  <c r="S92" i="3"/>
  <c r="AD92" i="3" s="1"/>
  <c r="W92" i="3"/>
  <c r="F94" i="3"/>
  <c r="S91" i="3"/>
  <c r="W91" i="3"/>
  <c r="X91" i="3"/>
  <c r="X92" i="3"/>
  <c r="N93" i="3"/>
  <c r="R93" i="3" s="1"/>
  <c r="S93" i="3" s="1"/>
  <c r="AD93" i="3" s="1"/>
  <c r="Z90" i="3" l="1"/>
  <c r="V92" i="2"/>
  <c r="T92" i="2"/>
  <c r="W92" i="2"/>
  <c r="F94" i="2"/>
  <c r="P93" i="2"/>
  <c r="Q93" i="2" s="1"/>
  <c r="AA93" i="2" s="1"/>
  <c r="M94" i="2"/>
  <c r="U92" i="2"/>
  <c r="Y92" i="3"/>
  <c r="Z92" i="3" s="1"/>
  <c r="F95" i="3"/>
  <c r="X93" i="3"/>
  <c r="N94" i="3"/>
  <c r="AD91" i="3"/>
  <c r="Z91" i="3"/>
  <c r="Y93" i="3"/>
  <c r="Z93" i="3" s="1"/>
  <c r="W93" i="3"/>
  <c r="U93" i="2" l="1"/>
  <c r="T93" i="2"/>
  <c r="V94" i="2" s="1"/>
  <c r="F95" i="2"/>
  <c r="P94" i="2"/>
  <c r="Q94" i="2" s="1"/>
  <c r="AA94" i="2" s="1"/>
  <c r="M95" i="2"/>
  <c r="V93" i="2"/>
  <c r="W93" i="2" s="1"/>
  <c r="F96" i="3"/>
  <c r="Y94" i="3"/>
  <c r="N95" i="3"/>
  <c r="R94" i="3"/>
  <c r="W94" i="2" l="1"/>
  <c r="T94" i="2"/>
  <c r="M96" i="2"/>
  <c r="U94" i="2"/>
  <c r="F96" i="2"/>
  <c r="P95" i="2"/>
  <c r="Q95" i="2" s="1"/>
  <c r="AA95" i="2" s="1"/>
  <c r="N96" i="3"/>
  <c r="S94" i="3"/>
  <c r="AD94" i="3" s="1"/>
  <c r="W94" i="3"/>
  <c r="X94" i="3"/>
  <c r="R95" i="3"/>
  <c r="F97" i="3"/>
  <c r="T95" i="2" l="1"/>
  <c r="M97" i="2"/>
  <c r="F97" i="2"/>
  <c r="P96" i="2"/>
  <c r="Q96" i="2" s="1"/>
  <c r="AA96" i="2" s="1"/>
  <c r="V95" i="2"/>
  <c r="W95" i="2" s="1"/>
  <c r="U95" i="2"/>
  <c r="Y95" i="3"/>
  <c r="N97" i="3"/>
  <c r="F98" i="3"/>
  <c r="S95" i="3"/>
  <c r="AD95" i="3" s="1"/>
  <c r="W95" i="3"/>
  <c r="Z94" i="3"/>
  <c r="R96" i="3"/>
  <c r="X95" i="3"/>
  <c r="U96" i="2" l="1"/>
  <c r="F98" i="2"/>
  <c r="P97" i="2"/>
  <c r="Q97" i="2" s="1"/>
  <c r="AA97" i="2" s="1"/>
  <c r="M98" i="2"/>
  <c r="T96" i="2"/>
  <c r="V97" i="2" s="1"/>
  <c r="W97" i="2" s="1"/>
  <c r="V96" i="2"/>
  <c r="W96" i="2" s="1"/>
  <c r="Y96" i="3"/>
  <c r="N98" i="3"/>
  <c r="S96" i="3"/>
  <c r="AD96" i="3" s="1"/>
  <c r="W96" i="3"/>
  <c r="F99" i="3"/>
  <c r="X96" i="3"/>
  <c r="R97" i="3"/>
  <c r="Z95" i="3"/>
  <c r="T97" i="2" l="1"/>
  <c r="M99" i="2"/>
  <c r="U97" i="2"/>
  <c r="F99" i="2"/>
  <c r="P98" i="2"/>
  <c r="Q98" i="2" s="1"/>
  <c r="AA98" i="2" s="1"/>
  <c r="F100" i="3"/>
  <c r="N99" i="3"/>
  <c r="R99" i="3" s="1"/>
  <c r="S97" i="3"/>
  <c r="AD97" i="3" s="1"/>
  <c r="W97" i="3"/>
  <c r="R98" i="3"/>
  <c r="X97" i="3"/>
  <c r="Y97" i="3"/>
  <c r="Z96" i="3"/>
  <c r="Z97" i="3" l="1"/>
  <c r="Y98" i="3"/>
  <c r="U98" i="2"/>
  <c r="T98" i="2"/>
  <c r="V99" i="2" s="1"/>
  <c r="M100" i="2"/>
  <c r="F100" i="2"/>
  <c r="P99" i="2"/>
  <c r="Q99" i="2" s="1"/>
  <c r="AA99" i="2" s="1"/>
  <c r="V98" i="2"/>
  <c r="W98" i="2" s="1"/>
  <c r="S99" i="3"/>
  <c r="AD99" i="3" s="1"/>
  <c r="W99" i="3"/>
  <c r="S98" i="3"/>
  <c r="AD98" i="3" s="1"/>
  <c r="W98" i="3"/>
  <c r="X98" i="3"/>
  <c r="F101" i="3"/>
  <c r="N100" i="3"/>
  <c r="R100" i="3" s="1"/>
  <c r="S100" i="3" s="1"/>
  <c r="AD100" i="3" s="1"/>
  <c r="X99" i="3"/>
  <c r="Y99" i="3" l="1"/>
  <c r="Z99" i="3" s="1"/>
  <c r="U99" i="2"/>
  <c r="M101" i="2"/>
  <c r="T99" i="2"/>
  <c r="V100" i="2" s="1"/>
  <c r="W99" i="2"/>
  <c r="F101" i="2"/>
  <c r="P100" i="2"/>
  <c r="Q100" i="2" s="1"/>
  <c r="AA100" i="2" s="1"/>
  <c r="W100" i="3"/>
  <c r="F102" i="3"/>
  <c r="X100" i="3"/>
  <c r="N101" i="3"/>
  <c r="R101" i="3" s="1"/>
  <c r="S101" i="3" s="1"/>
  <c r="AD101" i="3" s="1"/>
  <c r="Z98" i="3"/>
  <c r="Y100" i="3"/>
  <c r="Z100" i="3" s="1"/>
  <c r="W100" i="2" l="1"/>
  <c r="T100" i="2"/>
  <c r="U100" i="2"/>
  <c r="F102" i="2"/>
  <c r="P101" i="2"/>
  <c r="Q101" i="2" s="1"/>
  <c r="AA101" i="2" s="1"/>
  <c r="M102" i="2"/>
  <c r="Y101" i="3"/>
  <c r="Z101" i="3" s="1"/>
  <c r="W101" i="3"/>
  <c r="F103" i="3"/>
  <c r="X101" i="3"/>
  <c r="N102" i="3"/>
  <c r="R102" i="3" s="1"/>
  <c r="U101" i="2" l="1"/>
  <c r="T101" i="2"/>
  <c r="V102" i="2" s="1"/>
  <c r="F103" i="2"/>
  <c r="P102" i="2"/>
  <c r="Q102" i="2" s="1"/>
  <c r="AA102" i="2" s="1"/>
  <c r="M103" i="2"/>
  <c r="V101" i="2"/>
  <c r="W101" i="2" s="1"/>
  <c r="S102" i="3"/>
  <c r="AD102" i="3" s="1"/>
  <c r="W102" i="3"/>
  <c r="F104" i="3"/>
  <c r="N103" i="3"/>
  <c r="R103" i="3" s="1"/>
  <c r="S103" i="3" s="1"/>
  <c r="AD103" i="3" s="1"/>
  <c r="X102" i="3"/>
  <c r="Y102" i="3"/>
  <c r="W102" i="2" l="1"/>
  <c r="U102" i="2"/>
  <c r="T102" i="2"/>
  <c r="V103" i="2" s="1"/>
  <c r="M104" i="2"/>
  <c r="F104" i="2"/>
  <c r="P103" i="2"/>
  <c r="Q103" i="2" s="1"/>
  <c r="AA103" i="2" s="1"/>
  <c r="Z102" i="3"/>
  <c r="W103" i="3"/>
  <c r="F105" i="3"/>
  <c r="N104" i="3"/>
  <c r="R104" i="3" s="1"/>
  <c r="X103" i="3"/>
  <c r="Y103" i="3"/>
  <c r="Z103" i="3" s="1"/>
  <c r="U103" i="2" l="1"/>
  <c r="T103" i="2"/>
  <c r="V104" i="2" s="1"/>
  <c r="M105" i="2"/>
  <c r="W103" i="2"/>
  <c r="F105" i="2"/>
  <c r="P104" i="2"/>
  <c r="Q104" i="2" s="1"/>
  <c r="AA104" i="2" s="1"/>
  <c r="S104" i="3"/>
  <c r="AD104" i="3" s="1"/>
  <c r="W104" i="3"/>
  <c r="F106" i="3"/>
  <c r="N105" i="3"/>
  <c r="X104" i="3"/>
  <c r="Y104" i="3"/>
  <c r="W104" i="2" l="1"/>
  <c r="T104" i="2"/>
  <c r="U104" i="2"/>
  <c r="Z104" i="3"/>
  <c r="F106" i="2"/>
  <c r="P105" i="2"/>
  <c r="Q105" i="2" s="1"/>
  <c r="AA105" i="2" s="1"/>
  <c r="M106" i="2"/>
  <c r="U105" i="2"/>
  <c r="Y105" i="3"/>
  <c r="F107" i="3"/>
  <c r="N106" i="3"/>
  <c r="R105" i="3"/>
  <c r="X105" i="3" s="1"/>
  <c r="T105" i="2" l="1"/>
  <c r="V105" i="2"/>
  <c r="F107" i="2"/>
  <c r="P106" i="2"/>
  <c r="Q106" i="2" s="1"/>
  <c r="AA106" i="2" s="1"/>
  <c r="M107" i="2"/>
  <c r="V106" i="2"/>
  <c r="W105" i="2"/>
  <c r="F108" i="3"/>
  <c r="S105" i="3"/>
  <c r="W105" i="3"/>
  <c r="Y106" i="3" s="1"/>
  <c r="N107" i="3"/>
  <c r="R106" i="3"/>
  <c r="M108" i="2" l="1"/>
  <c r="W106" i="2"/>
  <c r="T106" i="2"/>
  <c r="U106" i="2"/>
  <c r="F108" i="2"/>
  <c r="P107" i="2"/>
  <c r="Q107" i="2" s="1"/>
  <c r="AA107" i="2" s="1"/>
  <c r="S106" i="3"/>
  <c r="AD106" i="3" s="1"/>
  <c r="W106" i="3"/>
  <c r="AD105" i="3"/>
  <c r="Z105" i="3"/>
  <c r="N108" i="3"/>
  <c r="R108" i="3"/>
  <c r="X106" i="3"/>
  <c r="R107" i="3"/>
  <c r="V107" i="2" l="1"/>
  <c r="W107" i="2" s="1"/>
  <c r="T107" i="2"/>
  <c r="F109" i="2"/>
  <c r="P108" i="2"/>
  <c r="Q108" i="2" s="1"/>
  <c r="AA108" i="2" s="1"/>
  <c r="U107" i="2"/>
  <c r="M109" i="2"/>
  <c r="Z106" i="3"/>
  <c r="S108" i="3"/>
  <c r="AD108" i="3" s="1"/>
  <c r="P108" i="3"/>
  <c r="N109" i="3" s="1"/>
  <c r="H108" i="3"/>
  <c r="F109" i="3" s="1"/>
  <c r="F110" i="3" s="1"/>
  <c r="U108" i="3"/>
  <c r="S107" i="3"/>
  <c r="AD107" i="3" s="1"/>
  <c r="W107" i="3"/>
  <c r="X107" i="3"/>
  <c r="Y107" i="3"/>
  <c r="Z107" i="3" s="1"/>
  <c r="V108" i="3"/>
  <c r="U108" i="2" l="1"/>
  <c r="T108" i="2"/>
  <c r="V109" i="2" s="1"/>
  <c r="M110" i="2"/>
  <c r="F110" i="2"/>
  <c r="P109" i="2"/>
  <c r="Q109" i="2" s="1"/>
  <c r="AA109" i="2" s="1"/>
  <c r="V108" i="2"/>
  <c r="W108" i="2" s="1"/>
  <c r="Y108" i="3"/>
  <c r="Z108" i="3" s="1"/>
  <c r="N110" i="3"/>
  <c r="R110" i="3" s="1"/>
  <c r="R109" i="3"/>
  <c r="X109" i="3" s="1"/>
  <c r="F111" i="3"/>
  <c r="T109" i="2" l="1"/>
  <c r="U109" i="2"/>
  <c r="M111" i="2"/>
  <c r="W109" i="2"/>
  <c r="V110" i="2"/>
  <c r="F111" i="2"/>
  <c r="P110" i="2"/>
  <c r="Q110" i="2" s="1"/>
  <c r="AA110" i="2" s="1"/>
  <c r="S110" i="3"/>
  <c r="AD110" i="3" s="1"/>
  <c r="W110" i="3"/>
  <c r="F112" i="3"/>
  <c r="N111" i="3"/>
  <c r="R111" i="3" s="1"/>
  <c r="S111" i="3" s="1"/>
  <c r="AD111" i="3" s="1"/>
  <c r="X110" i="3"/>
  <c r="S109" i="3"/>
  <c r="W109" i="3"/>
  <c r="Y110" i="3" s="1"/>
  <c r="W110" i="2" l="1"/>
  <c r="T110" i="2"/>
  <c r="U110" i="2"/>
  <c r="Z110" i="3"/>
  <c r="F112" i="2"/>
  <c r="P111" i="2"/>
  <c r="Q111" i="2" s="1"/>
  <c r="AA111" i="2" s="1"/>
  <c r="M112" i="2"/>
  <c r="U111" i="2"/>
  <c r="AD109" i="3"/>
  <c r="Z109" i="3"/>
  <c r="W111" i="3"/>
  <c r="F113" i="3"/>
  <c r="N112" i="3"/>
  <c r="R112" i="3" s="1"/>
  <c r="X111" i="3"/>
  <c r="Y111" i="3"/>
  <c r="Z111" i="3" s="1"/>
  <c r="M113" i="2" l="1"/>
  <c r="F113" i="2"/>
  <c r="P112" i="2"/>
  <c r="Q112" i="2" s="1"/>
  <c r="AA112" i="2" s="1"/>
  <c r="T111" i="2"/>
  <c r="V112" i="2" s="1"/>
  <c r="W112" i="2" s="1"/>
  <c r="V111" i="2"/>
  <c r="W111" i="2" s="1"/>
  <c r="S112" i="3"/>
  <c r="AD112" i="3" s="1"/>
  <c r="W112" i="3"/>
  <c r="F114" i="3"/>
  <c r="N113" i="3"/>
  <c r="R113" i="3" s="1"/>
  <c r="S113" i="3" s="1"/>
  <c r="AD113" i="3" s="1"/>
  <c r="X112" i="3"/>
  <c r="Y112" i="3"/>
  <c r="T112" i="2" l="1"/>
  <c r="F114" i="2"/>
  <c r="P113" i="2"/>
  <c r="Q113" i="2" s="1"/>
  <c r="AA113" i="2" s="1"/>
  <c r="U112" i="2"/>
  <c r="V113" i="2" s="1"/>
  <c r="W113" i="2" s="1"/>
  <c r="Z112" i="3"/>
  <c r="M114" i="2"/>
  <c r="U113" i="2"/>
  <c r="F115" i="3"/>
  <c r="Y113" i="3"/>
  <c r="Z113" i="3" s="1"/>
  <c r="X113" i="3"/>
  <c r="N114" i="3"/>
  <c r="R114" i="3" s="1"/>
  <c r="S114" i="3" s="1"/>
  <c r="AD114" i="3" s="1"/>
  <c r="W113" i="3"/>
  <c r="M115" i="2" l="1"/>
  <c r="T113" i="2"/>
  <c r="V114" i="2" s="1"/>
  <c r="F115" i="2"/>
  <c r="P114" i="2"/>
  <c r="Q114" i="2" s="1"/>
  <c r="AA114" i="2" s="1"/>
  <c r="Y114" i="3"/>
  <c r="Z114" i="3" s="1"/>
  <c r="W114" i="3"/>
  <c r="X114" i="3"/>
  <c r="N115" i="3"/>
  <c r="F116" i="3"/>
  <c r="T114" i="2" l="1"/>
  <c r="W114" i="2"/>
  <c r="F116" i="2"/>
  <c r="P115" i="2"/>
  <c r="Q115" i="2" s="1"/>
  <c r="AA115" i="2" s="1"/>
  <c r="U114" i="2"/>
  <c r="V115" i="2" s="1"/>
  <c r="W115" i="2" s="1"/>
  <c r="M116" i="2"/>
  <c r="U115" i="2"/>
  <c r="N116" i="3"/>
  <c r="R116" i="3" s="1"/>
  <c r="Y115" i="3"/>
  <c r="F117" i="3"/>
  <c r="R115" i="3"/>
  <c r="M117" i="2" l="1"/>
  <c r="T115" i="2"/>
  <c r="V116" i="2" s="1"/>
  <c r="F117" i="2"/>
  <c r="P116" i="2"/>
  <c r="Q116" i="2" s="1"/>
  <c r="AA116" i="2" s="1"/>
  <c r="S115" i="3"/>
  <c r="AD115" i="3" s="1"/>
  <c r="W115" i="3"/>
  <c r="X115" i="3"/>
  <c r="F118" i="3"/>
  <c r="S116" i="3"/>
  <c r="AD116" i="3" s="1"/>
  <c r="W116" i="3"/>
  <c r="X116" i="3"/>
  <c r="N117" i="3"/>
  <c r="Z115" i="3" l="1"/>
  <c r="W116" i="2"/>
  <c r="U116" i="2"/>
  <c r="F118" i="2"/>
  <c r="P117" i="2"/>
  <c r="Q117" i="2" s="1"/>
  <c r="AA117" i="2" s="1"/>
  <c r="T116" i="2"/>
  <c r="V117" i="2" s="1"/>
  <c r="M118" i="2"/>
  <c r="N118" i="3"/>
  <c r="R118" i="3" s="1"/>
  <c r="Y116" i="3"/>
  <c r="Z116" i="3" s="1"/>
  <c r="F119" i="3"/>
  <c r="Y117" i="3"/>
  <c r="R117" i="3"/>
  <c r="U117" i="2" l="1"/>
  <c r="T117" i="2"/>
  <c r="V118" i="2" s="1"/>
  <c r="M119" i="2"/>
  <c r="F119" i="2"/>
  <c r="P118" i="2"/>
  <c r="Q118" i="2" s="1"/>
  <c r="AA118" i="2" s="1"/>
  <c r="W117" i="2"/>
  <c r="S118" i="3"/>
  <c r="AD118" i="3" s="1"/>
  <c r="W118" i="3"/>
  <c r="N119" i="3"/>
  <c r="X118" i="3"/>
  <c r="S117" i="3"/>
  <c r="AD117" i="3" s="1"/>
  <c r="W117" i="3"/>
  <c r="F120" i="3"/>
  <c r="R119" i="3"/>
  <c r="S119" i="3" s="1"/>
  <c r="AD119" i="3" s="1"/>
  <c r="X117" i="3"/>
  <c r="U118" i="2" l="1"/>
  <c r="M120" i="2"/>
  <c r="T118" i="2"/>
  <c r="V119" i="2" s="1"/>
  <c r="W118" i="2"/>
  <c r="F120" i="2"/>
  <c r="P119" i="2"/>
  <c r="Q119" i="2" s="1"/>
  <c r="AA119" i="2" s="1"/>
  <c r="F121" i="3"/>
  <c r="Z117" i="3"/>
  <c r="N120" i="3"/>
  <c r="R120" i="3" s="1"/>
  <c r="X119" i="3"/>
  <c r="W119" i="3"/>
  <c r="Y118" i="3"/>
  <c r="Z118" i="3" s="1"/>
  <c r="Y119" i="3"/>
  <c r="Z119" i="3" s="1"/>
  <c r="W119" i="2" l="1"/>
  <c r="T119" i="2"/>
  <c r="U119" i="2"/>
  <c r="F121" i="2"/>
  <c r="P120" i="2"/>
  <c r="Q120" i="2" s="1"/>
  <c r="AA120" i="2" s="1"/>
  <c r="M121" i="2"/>
  <c r="Y120" i="3"/>
  <c r="S120" i="3"/>
  <c r="AD120" i="3" s="1"/>
  <c r="W120" i="3"/>
  <c r="X120" i="3"/>
  <c r="N121" i="3"/>
  <c r="F122" i="3"/>
  <c r="U120" i="2" l="1"/>
  <c r="T120" i="2"/>
  <c r="V121" i="2" s="1"/>
  <c r="F122" i="2"/>
  <c r="P121" i="2"/>
  <c r="Q121" i="2" s="1"/>
  <c r="AA121" i="2" s="1"/>
  <c r="M122" i="2"/>
  <c r="V120" i="2"/>
  <c r="W120" i="2" s="1"/>
  <c r="N122" i="3"/>
  <c r="R122" i="3" s="1"/>
  <c r="R121" i="3"/>
  <c r="F123" i="3"/>
  <c r="Z120" i="3"/>
  <c r="Y121" i="3"/>
  <c r="T121" i="2" l="1"/>
  <c r="U121" i="2"/>
  <c r="F123" i="2"/>
  <c r="P122" i="2"/>
  <c r="Q122" i="2" s="1"/>
  <c r="AA122" i="2" s="1"/>
  <c r="M123" i="2"/>
  <c r="W121" i="2"/>
  <c r="S122" i="3"/>
  <c r="AD122" i="3" s="1"/>
  <c r="F124" i="3"/>
  <c r="S121" i="3"/>
  <c r="AD121" i="3" s="1"/>
  <c r="W121" i="3"/>
  <c r="X122" i="3"/>
  <c r="N123" i="3"/>
  <c r="W122" i="3"/>
  <c r="X121" i="3"/>
  <c r="T122" i="2" l="1"/>
  <c r="V122" i="2"/>
  <c r="F124" i="2"/>
  <c r="P123" i="2"/>
  <c r="Q123" i="2" s="1"/>
  <c r="AA123" i="2" s="1"/>
  <c r="U122" i="2"/>
  <c r="V123" i="2" s="1"/>
  <c r="W123" i="2" s="1"/>
  <c r="M124" i="2"/>
  <c r="W122" i="2"/>
  <c r="Y123" i="3"/>
  <c r="Z121" i="3"/>
  <c r="N124" i="3"/>
  <c r="R124" i="3" s="1"/>
  <c r="W124" i="3" s="1"/>
  <c r="F125" i="3"/>
  <c r="Y122" i="3"/>
  <c r="Z122" i="3" s="1"/>
  <c r="R123" i="3"/>
  <c r="U123" i="2" l="1"/>
  <c r="T123" i="2"/>
  <c r="V124" i="2" s="1"/>
  <c r="M125" i="2"/>
  <c r="F125" i="2"/>
  <c r="P124" i="2"/>
  <c r="Q124" i="2" s="1"/>
  <c r="AA124" i="2" s="1"/>
  <c r="S123" i="3"/>
  <c r="W123" i="3"/>
  <c r="F126" i="3"/>
  <c r="X123" i="3"/>
  <c r="S124" i="3"/>
  <c r="AD124" i="3" s="1"/>
  <c r="X124" i="3"/>
  <c r="Y125" i="3" s="1"/>
  <c r="N125" i="3"/>
  <c r="U124" i="2" l="1"/>
  <c r="M126" i="2"/>
  <c r="T124" i="2"/>
  <c r="V125" i="2" s="1"/>
  <c r="W124" i="2"/>
  <c r="F126" i="2"/>
  <c r="P125" i="2"/>
  <c r="Q125" i="2" s="1"/>
  <c r="AA125" i="2" s="1"/>
  <c r="N126" i="3"/>
  <c r="Y124" i="3"/>
  <c r="Z124" i="3" s="1"/>
  <c r="F127" i="3"/>
  <c r="R125" i="3"/>
  <c r="X125" i="3" s="1"/>
  <c r="AD123" i="3"/>
  <c r="Z123" i="3"/>
  <c r="W125" i="2" l="1"/>
  <c r="T125" i="2"/>
  <c r="U125" i="2"/>
  <c r="F127" i="2"/>
  <c r="P126" i="2"/>
  <c r="Q126" i="2" s="1"/>
  <c r="AA126" i="2" s="1"/>
  <c r="M127" i="2"/>
  <c r="F128" i="3"/>
  <c r="N127" i="3"/>
  <c r="S125" i="3"/>
  <c r="W125" i="3"/>
  <c r="Y126" i="3" s="1"/>
  <c r="R126" i="3"/>
  <c r="U126" i="2" l="1"/>
  <c r="V126" i="2"/>
  <c r="W126" i="2" s="1"/>
  <c r="F128" i="2"/>
  <c r="P127" i="2"/>
  <c r="Q127" i="2" s="1"/>
  <c r="AA127" i="2" s="1"/>
  <c r="M128" i="2"/>
  <c r="T126" i="2"/>
  <c r="V127" i="2" s="1"/>
  <c r="N128" i="3"/>
  <c r="R128" i="3" s="1"/>
  <c r="S126" i="3"/>
  <c r="AD126" i="3" s="1"/>
  <c r="W126" i="3"/>
  <c r="F129" i="3"/>
  <c r="AD125" i="3"/>
  <c r="Z125" i="3"/>
  <c r="R127" i="3"/>
  <c r="X127" i="3" s="1"/>
  <c r="X126" i="3"/>
  <c r="W127" i="2" l="1"/>
  <c r="T127" i="2"/>
  <c r="U127" i="2"/>
  <c r="F129" i="2"/>
  <c r="P128" i="2"/>
  <c r="Q128" i="2" s="1"/>
  <c r="AA128" i="2" s="1"/>
  <c r="M129" i="2"/>
  <c r="U128" i="2"/>
  <c r="S128" i="3"/>
  <c r="AD128" i="3" s="1"/>
  <c r="Y127" i="3"/>
  <c r="F130" i="3"/>
  <c r="S127" i="3"/>
  <c r="AD127" i="3" s="1"/>
  <c r="W127" i="3"/>
  <c r="Y128" i="3" s="1"/>
  <c r="W128" i="3"/>
  <c r="Z126" i="3"/>
  <c r="N129" i="3"/>
  <c r="R129" i="3" s="1"/>
  <c r="S129" i="3" s="1"/>
  <c r="AD129" i="3" s="1"/>
  <c r="X128" i="3"/>
  <c r="M130" i="2" l="1"/>
  <c r="F130" i="2"/>
  <c r="P129" i="2"/>
  <c r="Q129" i="2" s="1"/>
  <c r="AA129" i="2" s="1"/>
  <c r="V128" i="2"/>
  <c r="W128" i="2" s="1"/>
  <c r="T128" i="2"/>
  <c r="V129" i="2" s="1"/>
  <c r="W129" i="2" s="1"/>
  <c r="Y129" i="3"/>
  <c r="Z129" i="3" s="1"/>
  <c r="Z128" i="3"/>
  <c r="W129" i="3"/>
  <c r="X129" i="3"/>
  <c r="N130" i="3"/>
  <c r="Z127" i="3"/>
  <c r="T129" i="2" l="1"/>
  <c r="F131" i="2"/>
  <c r="P130" i="2"/>
  <c r="Q130" i="2" s="1"/>
  <c r="AA130" i="2" s="1"/>
  <c r="U129" i="2"/>
  <c r="V130" i="2" s="1"/>
  <c r="M131" i="2"/>
  <c r="U130" i="2"/>
  <c r="R130" i="3"/>
  <c r="Y130" i="3"/>
  <c r="W130" i="2" l="1"/>
  <c r="M132" i="2"/>
  <c r="T130" i="2"/>
  <c r="V131" i="2" s="1"/>
  <c r="F132" i="2"/>
  <c r="P131" i="2"/>
  <c r="Q131" i="2" s="1"/>
  <c r="AA131" i="2" s="1"/>
  <c r="P130" i="3"/>
  <c r="N131" i="3" s="1"/>
  <c r="N132" i="3" s="1"/>
  <c r="R132" i="3" s="1"/>
  <c r="H130" i="3"/>
  <c r="F131" i="3" s="1"/>
  <c r="F132" i="3" s="1"/>
  <c r="F133" i="3" s="1"/>
  <c r="S130" i="3"/>
  <c r="AD130" i="3" s="1"/>
  <c r="U130" i="3"/>
  <c r="V130" i="3"/>
  <c r="W131" i="2" l="1"/>
  <c r="R131" i="3"/>
  <c r="X131" i="3" s="1"/>
  <c r="U131" i="2"/>
  <c r="F133" i="2"/>
  <c r="P132" i="2"/>
  <c r="Q132" i="2" s="1"/>
  <c r="AA132" i="2" s="1"/>
  <c r="T131" i="2"/>
  <c r="V132" i="2" s="1"/>
  <c r="W132" i="2" s="1"/>
  <c r="M133" i="2"/>
  <c r="Z130" i="3"/>
  <c r="S132" i="3"/>
  <c r="AD132" i="3" s="1"/>
  <c r="S131" i="3"/>
  <c r="AD131" i="3" s="1"/>
  <c r="W131" i="3"/>
  <c r="Y132" i="3" s="1"/>
  <c r="W132" i="3"/>
  <c r="F134" i="3"/>
  <c r="N133" i="3"/>
  <c r="X132" i="3"/>
  <c r="T132" i="2" l="1"/>
  <c r="U132" i="2"/>
  <c r="M134" i="2"/>
  <c r="F134" i="2"/>
  <c r="P133" i="2"/>
  <c r="Q133" i="2" s="1"/>
  <c r="AA133" i="2" s="1"/>
  <c r="V133" i="2"/>
  <c r="Z132" i="3"/>
  <c r="Y133" i="3"/>
  <c r="N134" i="3"/>
  <c r="R133" i="3"/>
  <c r="F135" i="3"/>
  <c r="Z131" i="3"/>
  <c r="T133" i="2" l="1"/>
  <c r="F135" i="2"/>
  <c r="P134" i="2"/>
  <c r="Q134" i="2" s="1"/>
  <c r="AA134" i="2" s="1"/>
  <c r="W133" i="2"/>
  <c r="U133" i="2"/>
  <c r="V134" i="2" s="1"/>
  <c r="W134" i="2" s="1"/>
  <c r="M135" i="2"/>
  <c r="U134" i="2"/>
  <c r="F136" i="3"/>
  <c r="N135" i="3"/>
  <c r="R135" i="3" s="1"/>
  <c r="S133" i="3"/>
  <c r="W133" i="3"/>
  <c r="Y134" i="3" s="1"/>
  <c r="R134" i="3"/>
  <c r="X133" i="3"/>
  <c r="M136" i="2" l="1"/>
  <c r="T134" i="2"/>
  <c r="V135" i="2" s="1"/>
  <c r="F136" i="2"/>
  <c r="P135" i="2"/>
  <c r="Q135" i="2" s="1"/>
  <c r="AA135" i="2" s="1"/>
  <c r="S135" i="3"/>
  <c r="AD135" i="3" s="1"/>
  <c r="W135" i="3"/>
  <c r="AD133" i="3"/>
  <c r="Z133" i="3"/>
  <c r="S134" i="3"/>
  <c r="AD134" i="3" s="1"/>
  <c r="W134" i="3"/>
  <c r="X134" i="3"/>
  <c r="N136" i="3"/>
  <c r="R136" i="3" s="1"/>
  <c r="S136" i="3" s="1"/>
  <c r="AD136" i="3" s="1"/>
  <c r="X135" i="3"/>
  <c r="F137" i="3"/>
  <c r="W135" i="2" l="1"/>
  <c r="F137" i="2"/>
  <c r="P136" i="2"/>
  <c r="Q136" i="2" s="1"/>
  <c r="AA136" i="2" s="1"/>
  <c r="U135" i="2"/>
  <c r="T135" i="2"/>
  <c r="M137" i="2"/>
  <c r="W136" i="3"/>
  <c r="Z134" i="3"/>
  <c r="F138" i="3"/>
  <c r="Y136" i="3"/>
  <c r="Z136" i="3" s="1"/>
  <c r="Y135" i="3"/>
  <c r="Z135" i="3" s="1"/>
  <c r="N137" i="3"/>
  <c r="X136" i="3"/>
  <c r="U136" i="2" l="1"/>
  <c r="Y137" i="3"/>
  <c r="M138" i="2"/>
  <c r="T136" i="2"/>
  <c r="V136" i="2"/>
  <c r="W136" i="2" s="1"/>
  <c r="F138" i="2"/>
  <c r="P137" i="2"/>
  <c r="Q137" i="2" s="1"/>
  <c r="AA137" i="2" s="1"/>
  <c r="N138" i="3"/>
  <c r="R137" i="3"/>
  <c r="F139" i="3"/>
  <c r="T137" i="2" l="1"/>
  <c r="V137" i="2"/>
  <c r="U137" i="2"/>
  <c r="F139" i="2"/>
  <c r="P138" i="2"/>
  <c r="Q138" i="2" s="1"/>
  <c r="AA138" i="2" s="1"/>
  <c r="M139" i="2"/>
  <c r="W137" i="2"/>
  <c r="S137" i="3"/>
  <c r="W137" i="3"/>
  <c r="F140" i="3"/>
  <c r="N139" i="3"/>
  <c r="X137" i="3"/>
  <c r="R138" i="3"/>
  <c r="X138" i="3" s="1"/>
  <c r="V138" i="2" l="1"/>
  <c r="M140" i="2"/>
  <c r="W138" i="2"/>
  <c r="T138" i="2"/>
  <c r="U138" i="2"/>
  <c r="F140" i="2"/>
  <c r="P139" i="2"/>
  <c r="Q139" i="2" s="1"/>
  <c r="AA139" i="2" s="1"/>
  <c r="F141" i="3"/>
  <c r="N140" i="3"/>
  <c r="Y138" i="3"/>
  <c r="S138" i="3"/>
  <c r="AD138" i="3" s="1"/>
  <c r="W138" i="3"/>
  <c r="Y139" i="3" s="1"/>
  <c r="R139" i="3"/>
  <c r="AD137" i="3"/>
  <c r="Z137" i="3"/>
  <c r="V139" i="2" l="1"/>
  <c r="T139" i="2"/>
  <c r="F141" i="2"/>
  <c r="P140" i="2"/>
  <c r="Q140" i="2" s="1"/>
  <c r="AA140" i="2" s="1"/>
  <c r="U139" i="2"/>
  <c r="W139" i="2"/>
  <c r="M141" i="2"/>
  <c r="N141" i="3"/>
  <c r="Z138" i="3"/>
  <c r="R140" i="3"/>
  <c r="X140" i="3" s="1"/>
  <c r="S139" i="3"/>
  <c r="AD139" i="3" s="1"/>
  <c r="W139" i="3"/>
  <c r="X139" i="3"/>
  <c r="F142" i="3"/>
  <c r="M142" i="2" l="1"/>
  <c r="T140" i="2"/>
  <c r="F142" i="2"/>
  <c r="P141" i="2"/>
  <c r="Q141" i="2" s="1"/>
  <c r="AA141" i="2" s="1"/>
  <c r="U140" i="2"/>
  <c r="V140" i="2"/>
  <c r="W140" i="2" s="1"/>
  <c r="Z139" i="3"/>
  <c r="F143" i="3"/>
  <c r="Y140" i="3"/>
  <c r="N142" i="3"/>
  <c r="R142" i="3" s="1"/>
  <c r="R141" i="3"/>
  <c r="X141" i="3" s="1"/>
  <c r="S140" i="3"/>
  <c r="AD140" i="3" s="1"/>
  <c r="W140" i="3"/>
  <c r="Y141" i="3" s="1"/>
  <c r="T141" i="2" l="1"/>
  <c r="V141" i="2"/>
  <c r="W141" i="2" s="1"/>
  <c r="F143" i="2"/>
  <c r="P142" i="2"/>
  <c r="Q142" i="2" s="1"/>
  <c r="AA142" i="2" s="1"/>
  <c r="U141" i="2"/>
  <c r="V142" i="2" s="1"/>
  <c r="M143" i="2"/>
  <c r="U142" i="2"/>
  <c r="S142" i="3"/>
  <c r="AD142" i="3" s="1"/>
  <c r="Z140" i="3"/>
  <c r="S141" i="3"/>
  <c r="AD141" i="3" s="1"/>
  <c r="W141" i="3"/>
  <c r="Y142" i="3" s="1"/>
  <c r="F144" i="3"/>
  <c r="N143" i="3"/>
  <c r="R143" i="3" s="1"/>
  <c r="X142" i="3"/>
  <c r="W142" i="3"/>
  <c r="Y143" i="3" s="1"/>
  <c r="Z142" i="3" l="1"/>
  <c r="W142" i="2"/>
  <c r="M144" i="2"/>
  <c r="T142" i="2"/>
  <c r="V143" i="2" s="1"/>
  <c r="F144" i="2"/>
  <c r="P143" i="2"/>
  <c r="Q143" i="2" s="1"/>
  <c r="AA143" i="2" s="1"/>
  <c r="S143" i="3"/>
  <c r="AD143" i="3" s="1"/>
  <c r="W143" i="3"/>
  <c r="F145" i="3"/>
  <c r="N144" i="3"/>
  <c r="X143" i="3"/>
  <c r="Z141" i="3"/>
  <c r="W143" i="2" l="1"/>
  <c r="F145" i="2"/>
  <c r="P144" i="2"/>
  <c r="Q144" i="2" s="1"/>
  <c r="AA144" i="2" s="1"/>
  <c r="U143" i="2"/>
  <c r="Z143" i="3"/>
  <c r="T143" i="2"/>
  <c r="M145" i="2"/>
  <c r="U144" i="2"/>
  <c r="F146" i="3"/>
  <c r="N145" i="3"/>
  <c r="R144" i="3"/>
  <c r="X144" i="3" s="1"/>
  <c r="Y144" i="3"/>
  <c r="V144" i="2" l="1"/>
  <c r="W144" i="2" s="1"/>
  <c r="T144" i="2"/>
  <c r="V145" i="2" s="1"/>
  <c r="M146" i="2"/>
  <c r="F146" i="2"/>
  <c r="P145" i="2"/>
  <c r="Q145" i="2" s="1"/>
  <c r="AA145" i="2" s="1"/>
  <c r="N146" i="3"/>
  <c r="R146" i="3" s="1"/>
  <c r="R145" i="3"/>
  <c r="S144" i="3"/>
  <c r="AD144" i="3" s="1"/>
  <c r="W144" i="3"/>
  <c r="Y145" i="3" s="1"/>
  <c r="F147" i="3"/>
  <c r="U145" i="2" l="1"/>
  <c r="M147" i="2"/>
  <c r="T145" i="2"/>
  <c r="V146" i="2" s="1"/>
  <c r="W145" i="2"/>
  <c r="F147" i="2"/>
  <c r="P146" i="2"/>
  <c r="Q146" i="2" s="1"/>
  <c r="AA146" i="2" s="1"/>
  <c r="Z144" i="3"/>
  <c r="N147" i="3"/>
  <c r="R147" i="3" s="1"/>
  <c r="S147" i="3" s="1"/>
  <c r="AD147" i="3" s="1"/>
  <c r="X146" i="3"/>
  <c r="F148" i="3"/>
  <c r="S145" i="3"/>
  <c r="AD145" i="3" s="1"/>
  <c r="W145" i="3"/>
  <c r="S146" i="3"/>
  <c r="AD146" i="3" s="1"/>
  <c r="W146" i="3"/>
  <c r="X145" i="3"/>
  <c r="Y146" i="3" l="1"/>
  <c r="W146" i="2"/>
  <c r="T146" i="2"/>
  <c r="U146" i="2"/>
  <c r="F148" i="2"/>
  <c r="P147" i="2"/>
  <c r="Q147" i="2" s="1"/>
  <c r="AA147" i="2" s="1"/>
  <c r="M148" i="2"/>
  <c r="U147" i="2"/>
  <c r="Z145" i="3"/>
  <c r="Z146" i="3"/>
  <c r="W147" i="3"/>
  <c r="Y147" i="3"/>
  <c r="Z147" i="3" s="1"/>
  <c r="F149" i="3"/>
  <c r="N148" i="3"/>
  <c r="X147" i="3"/>
  <c r="F149" i="2" l="1"/>
  <c r="P148" i="2"/>
  <c r="Q148" i="2" s="1"/>
  <c r="AA148" i="2" s="1"/>
  <c r="M149" i="2"/>
  <c r="V147" i="2"/>
  <c r="W147" i="2" s="1"/>
  <c r="T147" i="2"/>
  <c r="V148" i="2" s="1"/>
  <c r="W148" i="2" s="1"/>
  <c r="N149" i="3"/>
  <c r="R149" i="3" s="1"/>
  <c r="R148" i="3"/>
  <c r="Y148" i="3"/>
  <c r="F150" i="3"/>
  <c r="M150" i="2" l="1"/>
  <c r="T148" i="2"/>
  <c r="U148" i="2"/>
  <c r="F150" i="2"/>
  <c r="P149" i="2"/>
  <c r="Q149" i="2" s="1"/>
  <c r="AA149" i="2" s="1"/>
  <c r="S149" i="3"/>
  <c r="AD149" i="3" s="1"/>
  <c r="W149" i="3"/>
  <c r="F151" i="3"/>
  <c r="S148" i="3"/>
  <c r="AD148" i="3" s="1"/>
  <c r="W148" i="3"/>
  <c r="X148" i="3"/>
  <c r="X149" i="3"/>
  <c r="N150" i="3"/>
  <c r="V149" i="2" l="1"/>
  <c r="W149" i="2" s="1"/>
  <c r="T149" i="2"/>
  <c r="U149" i="2"/>
  <c r="F151" i="2"/>
  <c r="P150" i="2"/>
  <c r="Q150" i="2" s="1"/>
  <c r="AA150" i="2" s="1"/>
  <c r="M151" i="2"/>
  <c r="U150" i="2"/>
  <c r="Y149" i="3"/>
  <c r="Z149" i="3" s="1"/>
  <c r="Y150" i="3"/>
  <c r="F152" i="3"/>
  <c r="N151" i="3"/>
  <c r="R151" i="3" s="1"/>
  <c r="R150" i="3"/>
  <c r="Z148" i="3"/>
  <c r="F152" i="2" l="1"/>
  <c r="P151" i="2"/>
  <c r="Q151" i="2" s="1"/>
  <c r="AA151" i="2" s="1"/>
  <c r="M152" i="2"/>
  <c r="V150" i="2"/>
  <c r="W150" i="2" s="1"/>
  <c r="T150" i="2"/>
  <c r="V151" i="2" s="1"/>
  <c r="W151" i="2" s="1"/>
  <c r="S151" i="3"/>
  <c r="AD151" i="3" s="1"/>
  <c r="W151" i="3"/>
  <c r="S150" i="3"/>
  <c r="AD150" i="3" s="1"/>
  <c r="W150" i="3"/>
  <c r="X150" i="3"/>
  <c r="N152" i="3"/>
  <c r="R152" i="3" s="1"/>
  <c r="X151" i="3"/>
  <c r="Y151" i="3" l="1"/>
  <c r="Z151" i="3" s="1"/>
  <c r="M153" i="2"/>
  <c r="T151" i="2"/>
  <c r="U151" i="2"/>
  <c r="F153" i="2"/>
  <c r="P152" i="2"/>
  <c r="Q152" i="2" s="1"/>
  <c r="AA152" i="2" s="1"/>
  <c r="S152" i="3"/>
  <c r="AD152" i="3" s="1"/>
  <c r="H152" i="3"/>
  <c r="F153" i="3" s="1"/>
  <c r="F154" i="3" s="1"/>
  <c r="P152" i="3"/>
  <c r="N153" i="3" s="1"/>
  <c r="Z150" i="3"/>
  <c r="U152" i="3"/>
  <c r="Y152" i="3"/>
  <c r="V152" i="3"/>
  <c r="R153" i="3" l="1"/>
  <c r="S153" i="3" s="1"/>
  <c r="AD153" i="3" s="1"/>
  <c r="Z152" i="3"/>
  <c r="V152" i="2"/>
  <c r="W152" i="2"/>
  <c r="T152" i="2"/>
  <c r="U152" i="2"/>
  <c r="F154" i="2"/>
  <c r="P153" i="2"/>
  <c r="Q153" i="2" s="1"/>
  <c r="AA153" i="2" s="1"/>
  <c r="M154" i="2"/>
  <c r="W153" i="3"/>
  <c r="X153" i="3"/>
  <c r="N154" i="3"/>
  <c r="R154" i="3" s="1"/>
  <c r="S154" i="3" s="1"/>
  <c r="AD154" i="3" s="1"/>
  <c r="F155" i="3"/>
  <c r="Z153" i="3"/>
  <c r="U153" i="2" l="1"/>
  <c r="V153" i="2"/>
  <c r="W153" i="2" s="1"/>
  <c r="F155" i="2"/>
  <c r="P154" i="2"/>
  <c r="Q154" i="2" s="1"/>
  <c r="AA154" i="2" s="1"/>
  <c r="M155" i="2"/>
  <c r="T153" i="2"/>
  <c r="V154" i="2" s="1"/>
  <c r="Y154" i="3"/>
  <c r="Z154" i="3" s="1"/>
  <c r="W154" i="3"/>
  <c r="N155" i="3"/>
  <c r="R155" i="3" s="1"/>
  <c r="X154" i="3"/>
  <c r="F156" i="3"/>
  <c r="W154" i="2" l="1"/>
  <c r="T154" i="2"/>
  <c r="M156" i="2"/>
  <c r="Y155" i="3"/>
  <c r="U154" i="2"/>
  <c r="V155" i="2" s="1"/>
  <c r="F156" i="2"/>
  <c r="P155" i="2"/>
  <c r="Q155" i="2" s="1"/>
  <c r="AA155" i="2" s="1"/>
  <c r="S155" i="3"/>
  <c r="AD155" i="3" s="1"/>
  <c r="W155" i="3"/>
  <c r="F157" i="3"/>
  <c r="N156" i="3"/>
  <c r="R156" i="3" s="1"/>
  <c r="X155" i="3"/>
  <c r="W155" i="2" l="1"/>
  <c r="T155" i="2"/>
  <c r="F157" i="2"/>
  <c r="P156" i="2"/>
  <c r="Q156" i="2" s="1"/>
  <c r="AA156" i="2" s="1"/>
  <c r="U155" i="2"/>
  <c r="M157" i="2"/>
  <c r="U156" i="2"/>
  <c r="S156" i="3"/>
  <c r="AD156" i="3" s="1"/>
  <c r="W156" i="3"/>
  <c r="Y156" i="3"/>
  <c r="F158" i="3"/>
  <c r="N157" i="3"/>
  <c r="R157" i="3" s="1"/>
  <c r="X156" i="3"/>
  <c r="Z155" i="3"/>
  <c r="T156" i="2" l="1"/>
  <c r="V157" i="2" s="1"/>
  <c r="F158" i="2"/>
  <c r="P157" i="2"/>
  <c r="Q157" i="2" s="1"/>
  <c r="AA157" i="2" s="1"/>
  <c r="M158" i="2"/>
  <c r="V156" i="2"/>
  <c r="W156" i="2" s="1"/>
  <c r="Z156" i="3"/>
  <c r="S157" i="3"/>
  <c r="AD157" i="3" s="1"/>
  <c r="W157" i="3"/>
  <c r="Y157" i="3"/>
  <c r="X157" i="3"/>
  <c r="N158" i="3"/>
  <c r="R158" i="3" s="1"/>
  <c r="F159" i="3"/>
  <c r="Z157" i="3" l="1"/>
  <c r="T157" i="2"/>
  <c r="U157" i="2"/>
  <c r="F159" i="2"/>
  <c r="P158" i="2"/>
  <c r="Q158" i="2" s="1"/>
  <c r="AA158" i="2" s="1"/>
  <c r="M159" i="2"/>
  <c r="U158" i="2"/>
  <c r="W157" i="2"/>
  <c r="S158" i="3"/>
  <c r="AD158" i="3" s="1"/>
  <c r="W158" i="3"/>
  <c r="Y158" i="3"/>
  <c r="F160" i="3"/>
  <c r="N159" i="3"/>
  <c r="R159" i="3" s="1"/>
  <c r="S159" i="3" s="1"/>
  <c r="AD159" i="3" s="1"/>
  <c r="X158" i="3"/>
  <c r="Y159" i="3" s="1"/>
  <c r="T158" i="2" l="1"/>
  <c r="V159" i="2"/>
  <c r="F160" i="2"/>
  <c r="P159" i="2"/>
  <c r="Q159" i="2" s="1"/>
  <c r="AA159" i="2" s="1"/>
  <c r="M160" i="2"/>
  <c r="V158" i="2"/>
  <c r="W158" i="2" s="1"/>
  <c r="Z158" i="3"/>
  <c r="Z159" i="3"/>
  <c r="F161" i="3"/>
  <c r="N160" i="3"/>
  <c r="X159" i="3"/>
  <c r="W159" i="3"/>
  <c r="T159" i="2" l="1"/>
  <c r="U159" i="2"/>
  <c r="F161" i="2"/>
  <c r="P160" i="2"/>
  <c r="Q160" i="2" s="1"/>
  <c r="AA160" i="2" s="1"/>
  <c r="M161" i="2"/>
  <c r="W159" i="2"/>
  <c r="Y160" i="3"/>
  <c r="N161" i="3"/>
  <c r="R161" i="3" s="1"/>
  <c r="R160" i="3"/>
  <c r="F162" i="3"/>
  <c r="V160" i="2" l="1"/>
  <c r="T160" i="2"/>
  <c r="U160" i="2"/>
  <c r="F162" i="2"/>
  <c r="P161" i="2"/>
  <c r="Q161" i="2" s="1"/>
  <c r="AA161" i="2" s="1"/>
  <c r="M162" i="2"/>
  <c r="W160" i="2"/>
  <c r="S161" i="3"/>
  <c r="AD161" i="3" s="1"/>
  <c r="W161" i="3"/>
  <c r="F163" i="3"/>
  <c r="S160" i="3"/>
  <c r="W160" i="3"/>
  <c r="X160" i="3"/>
  <c r="X161" i="3"/>
  <c r="N162" i="3"/>
  <c r="R162" i="3" s="1"/>
  <c r="S162" i="3" s="1"/>
  <c r="AD162" i="3" s="1"/>
  <c r="T161" i="2" l="1"/>
  <c r="U161" i="2"/>
  <c r="F163" i="2"/>
  <c r="P162" i="2"/>
  <c r="Q162" i="2" s="1"/>
  <c r="AA162" i="2" s="1"/>
  <c r="M163" i="2"/>
  <c r="U162" i="2"/>
  <c r="V161" i="2"/>
  <c r="W161" i="2" s="1"/>
  <c r="W162" i="3"/>
  <c r="F164" i="3"/>
  <c r="Y161" i="3"/>
  <c r="Z161" i="3" s="1"/>
  <c r="N163" i="3"/>
  <c r="R163" i="3" s="1"/>
  <c r="S163" i="3" s="1"/>
  <c r="AD163" i="3" s="1"/>
  <c r="X162" i="3"/>
  <c r="AD160" i="3"/>
  <c r="Z160" i="3"/>
  <c r="Y162" i="3"/>
  <c r="Z162" i="3" s="1"/>
  <c r="T162" i="2" l="1"/>
  <c r="V163" i="2" s="1"/>
  <c r="V162" i="2"/>
  <c r="F164" i="2"/>
  <c r="P163" i="2"/>
  <c r="Q163" i="2" s="1"/>
  <c r="AA163" i="2" s="1"/>
  <c r="M164" i="2"/>
  <c r="W162" i="2"/>
  <c r="Y163" i="3"/>
  <c r="Z163" i="3" s="1"/>
  <c r="W163" i="3"/>
  <c r="N164" i="3"/>
  <c r="R164" i="3" s="1"/>
  <c r="S164" i="3" s="1"/>
  <c r="AD164" i="3" s="1"/>
  <c r="X163" i="3"/>
  <c r="F165" i="3"/>
  <c r="T163" i="2" l="1"/>
  <c r="U163" i="2"/>
  <c r="F165" i="2"/>
  <c r="P164" i="2"/>
  <c r="Q164" i="2" s="1"/>
  <c r="AA164" i="2" s="1"/>
  <c r="M165" i="2"/>
  <c r="W163" i="2"/>
  <c r="N165" i="3"/>
  <c r="R165" i="3" s="1"/>
  <c r="X164" i="3"/>
  <c r="W164" i="3"/>
  <c r="Y164" i="3"/>
  <c r="Z164" i="3" s="1"/>
  <c r="F166" i="3"/>
  <c r="T164" i="2" l="1"/>
  <c r="U164" i="2"/>
  <c r="F166" i="2"/>
  <c r="P165" i="2"/>
  <c r="Q165" i="2" s="1"/>
  <c r="AA165" i="2" s="1"/>
  <c r="M166" i="2"/>
  <c r="V164" i="2"/>
  <c r="W164" i="2" s="1"/>
  <c r="Y165" i="3"/>
  <c r="S165" i="3"/>
  <c r="AD165" i="3" s="1"/>
  <c r="W165" i="3"/>
  <c r="F167" i="3"/>
  <c r="X165" i="3"/>
  <c r="N166" i="3"/>
  <c r="Z165" i="3" l="1"/>
  <c r="T165" i="2"/>
  <c r="U165" i="2"/>
  <c r="F167" i="2"/>
  <c r="P166" i="2"/>
  <c r="Q166" i="2" s="1"/>
  <c r="AA166" i="2" s="1"/>
  <c r="M167" i="2"/>
  <c r="V165" i="2"/>
  <c r="W165" i="2" s="1"/>
  <c r="Y166" i="3"/>
  <c r="N167" i="3"/>
  <c r="R166" i="3"/>
  <c r="F168" i="3"/>
  <c r="U166" i="2" l="1"/>
  <c r="T166" i="2"/>
  <c r="V167" i="2" s="1"/>
  <c r="F168" i="2"/>
  <c r="P167" i="2"/>
  <c r="Q167" i="2" s="1"/>
  <c r="AA167" i="2" s="1"/>
  <c r="M168" i="2"/>
  <c r="V166" i="2"/>
  <c r="W166" i="2" s="1"/>
  <c r="F169" i="3"/>
  <c r="S166" i="3"/>
  <c r="AD166" i="3" s="1"/>
  <c r="W166" i="3"/>
  <c r="N168" i="3"/>
  <c r="R168" i="3" s="1"/>
  <c r="R167" i="3"/>
  <c r="X166" i="3"/>
  <c r="T167" i="2" l="1"/>
  <c r="U167" i="2"/>
  <c r="F169" i="2"/>
  <c r="P168" i="2"/>
  <c r="Q168" i="2" s="1"/>
  <c r="AA168" i="2" s="1"/>
  <c r="M169" i="2"/>
  <c r="U168" i="2"/>
  <c r="W167" i="2"/>
  <c r="S167" i="3"/>
  <c r="AD167" i="3" s="1"/>
  <c r="W167" i="3"/>
  <c r="X167" i="3"/>
  <c r="S168" i="3"/>
  <c r="AD168" i="3" s="1"/>
  <c r="Z166" i="3"/>
  <c r="X168" i="3"/>
  <c r="N169" i="3"/>
  <c r="R169" i="3" s="1"/>
  <c r="W168" i="3"/>
  <c r="Y169" i="3" s="1"/>
  <c r="Y167" i="3"/>
  <c r="Z167" i="3" s="1"/>
  <c r="F170" i="3"/>
  <c r="T168" i="2" l="1"/>
  <c r="V169" i="2" s="1"/>
  <c r="F170" i="2"/>
  <c r="P169" i="2"/>
  <c r="Q169" i="2" s="1"/>
  <c r="AA169" i="2" s="1"/>
  <c r="M170" i="2"/>
  <c r="U169" i="2"/>
  <c r="V168" i="2"/>
  <c r="W168" i="2" s="1"/>
  <c r="S169" i="3"/>
  <c r="AD169" i="3" s="1"/>
  <c r="W169" i="3"/>
  <c r="Z169" i="3"/>
  <c r="X169" i="3"/>
  <c r="N170" i="3"/>
  <c r="R170" i="3" s="1"/>
  <c r="F171" i="3"/>
  <c r="Y168" i="3"/>
  <c r="Z168" i="3" s="1"/>
  <c r="W169" i="2" l="1"/>
  <c r="M171" i="2"/>
  <c r="Y170" i="3"/>
  <c r="T169" i="2"/>
  <c r="V170" i="2" s="1"/>
  <c r="F171" i="2"/>
  <c r="P170" i="2"/>
  <c r="Q170" i="2" s="1"/>
  <c r="AA170" i="2" s="1"/>
  <c r="S170" i="3"/>
  <c r="AD170" i="3" s="1"/>
  <c r="W170" i="3"/>
  <c r="N171" i="3"/>
  <c r="R171" i="3" s="1"/>
  <c r="S171" i="3" s="1"/>
  <c r="AD171" i="3" s="1"/>
  <c r="X170" i="3"/>
  <c r="F172" i="3"/>
  <c r="Z170" i="3" l="1"/>
  <c r="W170" i="2"/>
  <c r="U170" i="2"/>
  <c r="T170" i="2"/>
  <c r="V171" i="2" s="1"/>
  <c r="F172" i="2"/>
  <c r="P171" i="2"/>
  <c r="Q171" i="2" s="1"/>
  <c r="AA171" i="2" s="1"/>
  <c r="M172" i="2"/>
  <c r="Y171" i="3"/>
  <c r="Z171" i="3" s="1"/>
  <c r="W171" i="3"/>
  <c r="N172" i="3"/>
  <c r="R172" i="3" s="1"/>
  <c r="S172" i="3" s="1"/>
  <c r="AD172" i="3" s="1"/>
  <c r="X171" i="3"/>
  <c r="F173" i="3"/>
  <c r="U171" i="2" l="1"/>
  <c r="T171" i="2"/>
  <c r="W171" i="2"/>
  <c r="V172" i="2"/>
  <c r="F173" i="2"/>
  <c r="P172" i="2"/>
  <c r="Q172" i="2" s="1"/>
  <c r="AA172" i="2" s="1"/>
  <c r="M173" i="2"/>
  <c r="Y172" i="3"/>
  <c r="Z172" i="3" s="1"/>
  <c r="N173" i="3"/>
  <c r="X172" i="3"/>
  <c r="W172" i="3"/>
  <c r="T172" i="2" l="1"/>
  <c r="F174" i="2"/>
  <c r="P173" i="2"/>
  <c r="Q173" i="2" s="1"/>
  <c r="AA173" i="2" s="1"/>
  <c r="U172" i="2"/>
  <c r="V173" i="2" s="1"/>
  <c r="M174" i="2"/>
  <c r="U173" i="2"/>
  <c r="W172" i="2"/>
  <c r="R173" i="3"/>
  <c r="Y173" i="3"/>
  <c r="W173" i="2" l="1"/>
  <c r="M175" i="2"/>
  <c r="T173" i="2"/>
  <c r="V174" i="2" s="1"/>
  <c r="F175" i="2"/>
  <c r="P174" i="2"/>
  <c r="Q174" i="2" s="1"/>
  <c r="AA174" i="2" s="1"/>
  <c r="V173" i="3"/>
  <c r="H173" i="3"/>
  <c r="F174" i="3" s="1"/>
  <c r="P173" i="3"/>
  <c r="N174" i="3" s="1"/>
  <c r="N175" i="3" s="1"/>
  <c r="S173" i="3"/>
  <c r="AD173" i="3" s="1"/>
  <c r="U173" i="3"/>
  <c r="W174" i="2" l="1"/>
  <c r="U174" i="2"/>
  <c r="T174" i="2"/>
  <c r="M176" i="2"/>
  <c r="U175" i="2"/>
  <c r="R174" i="3"/>
  <c r="F175" i="3"/>
  <c r="F176" i="3" s="1"/>
  <c r="F177" i="3" s="1"/>
  <c r="F176" i="2"/>
  <c r="P175" i="2"/>
  <c r="Q175" i="2" s="1"/>
  <c r="AA175" i="2" s="1"/>
  <c r="N176" i="3"/>
  <c r="Z173" i="3"/>
  <c r="T175" i="2" l="1"/>
  <c r="V176" i="2" s="1"/>
  <c r="S174" i="3"/>
  <c r="W174" i="3"/>
  <c r="F177" i="2"/>
  <c r="P176" i="2"/>
  <c r="Q176" i="2" s="1"/>
  <c r="AA176" i="2" s="1"/>
  <c r="M177" i="2"/>
  <c r="U176" i="2"/>
  <c r="R175" i="3"/>
  <c r="V175" i="2"/>
  <c r="W175" i="2" s="1"/>
  <c r="X174" i="3"/>
  <c r="F178" i="3"/>
  <c r="N177" i="3"/>
  <c r="R176" i="3"/>
  <c r="T176" i="2" l="1"/>
  <c r="V177" i="2" s="1"/>
  <c r="W176" i="2"/>
  <c r="S175" i="3"/>
  <c r="AD175" i="3" s="1"/>
  <c r="W175" i="3"/>
  <c r="Y176" i="3" s="1"/>
  <c r="X175" i="3"/>
  <c r="F178" i="2"/>
  <c r="P177" i="2"/>
  <c r="Q177" i="2" s="1"/>
  <c r="AA177" i="2" s="1"/>
  <c r="M178" i="2"/>
  <c r="Y175" i="3"/>
  <c r="AD174" i="3"/>
  <c r="Z174" i="3"/>
  <c r="S176" i="3"/>
  <c r="AD176" i="3" s="1"/>
  <c r="W176" i="3"/>
  <c r="N178" i="3"/>
  <c r="R177" i="3"/>
  <c r="X177" i="3" s="1"/>
  <c r="F179" i="3"/>
  <c r="X176" i="3"/>
  <c r="Z175" i="3" l="1"/>
  <c r="M179" i="2"/>
  <c r="T177" i="2"/>
  <c r="U177" i="2"/>
  <c r="F179" i="2"/>
  <c r="P178" i="2"/>
  <c r="Q178" i="2" s="1"/>
  <c r="AA178" i="2" s="1"/>
  <c r="W177" i="2"/>
  <c r="Z176" i="3"/>
  <c r="F180" i="3"/>
  <c r="N179" i="3"/>
  <c r="R178" i="3"/>
  <c r="S177" i="3"/>
  <c r="AD177" i="3" s="1"/>
  <c r="W177" i="3"/>
  <c r="Y178" i="3" s="1"/>
  <c r="Y177" i="3"/>
  <c r="V178" i="2" l="1"/>
  <c r="W178" i="2" s="1"/>
  <c r="T178" i="2"/>
  <c r="U178" i="2"/>
  <c r="F180" i="2"/>
  <c r="P179" i="2"/>
  <c r="Q179" i="2" s="1"/>
  <c r="AA179" i="2" s="1"/>
  <c r="M180" i="2"/>
  <c r="U179" i="2"/>
  <c r="Z177" i="3"/>
  <c r="N180" i="3"/>
  <c r="R180" i="3" s="1"/>
  <c r="R179" i="3"/>
  <c r="S178" i="3"/>
  <c r="AD178" i="3" s="1"/>
  <c r="W178" i="3"/>
  <c r="F181" i="3"/>
  <c r="X178" i="3"/>
  <c r="S180" i="3" l="1"/>
  <c r="AD180" i="3" s="1"/>
  <c r="F181" i="2"/>
  <c r="P180" i="2"/>
  <c r="Q180" i="2" s="1"/>
  <c r="AA180" i="2" s="1"/>
  <c r="M181" i="2"/>
  <c r="V179" i="2"/>
  <c r="W179" i="2" s="1"/>
  <c r="T179" i="2"/>
  <c r="V180" i="2" s="1"/>
  <c r="W180" i="2" s="1"/>
  <c r="W180" i="3"/>
  <c r="S179" i="3"/>
  <c r="AD179" i="3" s="1"/>
  <c r="W179" i="3"/>
  <c r="F182" i="3"/>
  <c r="X179" i="3"/>
  <c r="Y179" i="3"/>
  <c r="N181" i="3"/>
  <c r="X180" i="3"/>
  <c r="Z178" i="3"/>
  <c r="M182" i="2" l="1"/>
  <c r="T180" i="2"/>
  <c r="U180" i="2"/>
  <c r="F182" i="2"/>
  <c r="P181" i="2"/>
  <c r="Q181" i="2" s="1"/>
  <c r="AA181" i="2" s="1"/>
  <c r="Z179" i="3"/>
  <c r="Y180" i="3"/>
  <c r="Z180" i="3" s="1"/>
  <c r="F183" i="3"/>
  <c r="N182" i="3"/>
  <c r="R181" i="3"/>
  <c r="X181" i="3" s="1"/>
  <c r="Y181" i="3"/>
  <c r="V181" i="2" l="1"/>
  <c r="W181" i="2" s="1"/>
  <c r="U181" i="2"/>
  <c r="T181" i="2"/>
  <c r="V182" i="2" s="1"/>
  <c r="F183" i="2"/>
  <c r="P182" i="2"/>
  <c r="Q182" i="2" s="1"/>
  <c r="AA182" i="2" s="1"/>
  <c r="M183" i="2"/>
  <c r="S181" i="3"/>
  <c r="AD181" i="3" s="1"/>
  <c r="W181" i="3"/>
  <c r="Y182" i="3" s="1"/>
  <c r="F184" i="3"/>
  <c r="N183" i="3"/>
  <c r="R183" i="3" s="1"/>
  <c r="R182" i="3"/>
  <c r="U182" i="2" l="1"/>
  <c r="T182" i="2"/>
  <c r="V183" i="2" s="1"/>
  <c r="W182" i="2"/>
  <c r="F184" i="2"/>
  <c r="P183" i="2"/>
  <c r="Q183" i="2" s="1"/>
  <c r="AA183" i="2" s="1"/>
  <c r="M184" i="2"/>
  <c r="U183" i="2"/>
  <c r="Z181" i="3"/>
  <c r="S183" i="3"/>
  <c r="AD183" i="3" s="1"/>
  <c r="S182" i="3"/>
  <c r="AD182" i="3" s="1"/>
  <c r="W182" i="3"/>
  <c r="X182" i="3"/>
  <c r="F185" i="3"/>
  <c r="N184" i="3"/>
  <c r="X183" i="3"/>
  <c r="W183" i="3"/>
  <c r="T183" i="2" l="1"/>
  <c r="V184" i="2" s="1"/>
  <c r="F185" i="2"/>
  <c r="P184" i="2"/>
  <c r="Q184" i="2" s="1"/>
  <c r="AA184" i="2" s="1"/>
  <c r="M185" i="2"/>
  <c r="W183" i="2"/>
  <c r="Z182" i="3"/>
  <c r="F186" i="3"/>
  <c r="Y183" i="3"/>
  <c r="Z183" i="3" s="1"/>
  <c r="N185" i="3"/>
  <c r="R185" i="3" s="1"/>
  <c r="Y184" i="3"/>
  <c r="R184" i="3"/>
  <c r="W184" i="2" l="1"/>
  <c r="U184" i="2"/>
  <c r="T184" i="2"/>
  <c r="V185" i="2" s="1"/>
  <c r="M186" i="2"/>
  <c r="F186" i="2"/>
  <c r="P185" i="2"/>
  <c r="Q185" i="2" s="1"/>
  <c r="AA185" i="2" s="1"/>
  <c r="S185" i="3"/>
  <c r="AD185" i="3" s="1"/>
  <c r="W185" i="3"/>
  <c r="S184" i="3"/>
  <c r="AD184" i="3" s="1"/>
  <c r="W184" i="3"/>
  <c r="X184" i="3"/>
  <c r="X185" i="3"/>
  <c r="N186" i="3"/>
  <c r="F187" i="3"/>
  <c r="U185" i="2" l="1"/>
  <c r="M187" i="2"/>
  <c r="U186" i="2"/>
  <c r="Y185" i="3"/>
  <c r="Z185" i="3" s="1"/>
  <c r="T185" i="2"/>
  <c r="V186" i="2" s="1"/>
  <c r="W185" i="2"/>
  <c r="F187" i="2"/>
  <c r="T186" i="2"/>
  <c r="V187" i="2" s="1"/>
  <c r="P186" i="2"/>
  <c r="Q186" i="2" s="1"/>
  <c r="AA186" i="2" s="1"/>
  <c r="Y186" i="3"/>
  <c r="N187" i="3"/>
  <c r="R187" i="3" s="1"/>
  <c r="F188" i="3"/>
  <c r="R186" i="3"/>
  <c r="Z184" i="3"/>
  <c r="F188" i="2" l="1"/>
  <c r="P187" i="2"/>
  <c r="Q187" i="2" s="1"/>
  <c r="AA187" i="2" s="1"/>
  <c r="M188" i="2"/>
  <c r="U187" i="2"/>
  <c r="W186" i="2"/>
  <c r="S187" i="3"/>
  <c r="AD187" i="3" s="1"/>
  <c r="S186" i="3"/>
  <c r="AD186" i="3" s="1"/>
  <c r="W186" i="3"/>
  <c r="N188" i="3"/>
  <c r="R188" i="3" s="1"/>
  <c r="S188" i="3" s="1"/>
  <c r="AD188" i="3" s="1"/>
  <c r="X187" i="3"/>
  <c r="W187" i="3"/>
  <c r="X186" i="3"/>
  <c r="F189" i="3"/>
  <c r="T187" i="2" l="1"/>
  <c r="V188" i="2" s="1"/>
  <c r="F189" i="2"/>
  <c r="P188" i="2"/>
  <c r="Q188" i="2" s="1"/>
  <c r="AA188" i="2" s="1"/>
  <c r="M189" i="2"/>
  <c r="W187" i="2"/>
  <c r="Y188" i="3"/>
  <c r="Z188" i="3" s="1"/>
  <c r="W188" i="3"/>
  <c r="F190" i="3"/>
  <c r="N189" i="3"/>
  <c r="R189" i="3" s="1"/>
  <c r="X188" i="3"/>
  <c r="Z186" i="3"/>
  <c r="Y187" i="3"/>
  <c r="Z187" i="3" s="1"/>
  <c r="T188" i="2" l="1"/>
  <c r="U188" i="2"/>
  <c r="F190" i="2"/>
  <c r="P189" i="2"/>
  <c r="Q189" i="2" s="1"/>
  <c r="AA189" i="2" s="1"/>
  <c r="M190" i="2"/>
  <c r="U189" i="2"/>
  <c r="W188" i="2"/>
  <c r="Y189" i="3"/>
  <c r="S189" i="3"/>
  <c r="AD189" i="3" s="1"/>
  <c r="W189" i="3"/>
  <c r="F191" i="3"/>
  <c r="X189" i="3"/>
  <c r="N190" i="3"/>
  <c r="T189" i="2" l="1"/>
  <c r="V190" i="2" s="1"/>
  <c r="V189" i="2"/>
  <c r="F191" i="2"/>
  <c r="P190" i="2"/>
  <c r="Q190" i="2" s="1"/>
  <c r="AA190" i="2" s="1"/>
  <c r="M191" i="2"/>
  <c r="U190" i="2"/>
  <c r="W189" i="2"/>
  <c r="Z189" i="3"/>
  <c r="F192" i="3"/>
  <c r="N191" i="3"/>
  <c r="R190" i="3"/>
  <c r="X190" i="3" s="1"/>
  <c r="Y190" i="3"/>
  <c r="T190" i="2" l="1"/>
  <c r="V191" i="2" s="1"/>
  <c r="F192" i="2"/>
  <c r="P191" i="2"/>
  <c r="Q191" i="2" s="1"/>
  <c r="AA191" i="2" s="1"/>
  <c r="M192" i="2"/>
  <c r="U191" i="2"/>
  <c r="W190" i="2"/>
  <c r="F193" i="3"/>
  <c r="S190" i="3"/>
  <c r="AD190" i="3" s="1"/>
  <c r="W190" i="3"/>
  <c r="Y191" i="3" s="1"/>
  <c r="N192" i="3"/>
  <c r="R191" i="3"/>
  <c r="X191" i="3" s="1"/>
  <c r="T191" i="2" l="1"/>
  <c r="V192" i="2" s="1"/>
  <c r="F193" i="2"/>
  <c r="P192" i="2"/>
  <c r="Q192" i="2" s="1"/>
  <c r="AA192" i="2" s="1"/>
  <c r="M193" i="2"/>
  <c r="W191" i="2"/>
  <c r="Z190" i="3"/>
  <c r="N193" i="3"/>
  <c r="R193" i="3" s="1"/>
  <c r="R192" i="3"/>
  <c r="S191" i="3"/>
  <c r="AD191" i="3" s="1"/>
  <c r="W191" i="3"/>
  <c r="Y192" i="3" s="1"/>
  <c r="F194" i="3"/>
  <c r="T192" i="2" l="1"/>
  <c r="F194" i="2"/>
  <c r="P193" i="2"/>
  <c r="Q193" i="2" s="1"/>
  <c r="AA193" i="2" s="1"/>
  <c r="U192" i="2"/>
  <c r="V193" i="2" s="1"/>
  <c r="W193" i="2" s="1"/>
  <c r="M194" i="2"/>
  <c r="U193" i="2"/>
  <c r="W192" i="2"/>
  <c r="S193" i="3"/>
  <c r="AD193" i="3" s="1"/>
  <c r="Z191" i="3"/>
  <c r="W193" i="3"/>
  <c r="S192" i="3"/>
  <c r="AD192" i="3" s="1"/>
  <c r="W192" i="3"/>
  <c r="X192" i="3"/>
  <c r="X193" i="3"/>
  <c r="Y194" i="3" s="1"/>
  <c r="N194" i="3"/>
  <c r="T193" i="2" l="1"/>
  <c r="V194" i="2"/>
  <c r="F195" i="2"/>
  <c r="P194" i="2"/>
  <c r="Q194" i="2" s="1"/>
  <c r="AA194" i="2" s="1"/>
  <c r="M195" i="2"/>
  <c r="Z192" i="3"/>
  <c r="Y193" i="3"/>
  <c r="Z193" i="3" s="1"/>
  <c r="R194" i="3"/>
  <c r="T194" i="2" l="1"/>
  <c r="U194" i="2"/>
  <c r="F196" i="2"/>
  <c r="P195" i="2"/>
  <c r="Q195" i="2" s="1"/>
  <c r="AA195" i="2" s="1"/>
  <c r="M196" i="2"/>
  <c r="U195" i="2"/>
  <c r="W194" i="2"/>
  <c r="P194" i="3"/>
  <c r="N195" i="3" s="1"/>
  <c r="N196" i="3" s="1"/>
  <c r="R196" i="3" s="1"/>
  <c r="H194" i="3"/>
  <c r="F195" i="3" s="1"/>
  <c r="F196" i="3" s="1"/>
  <c r="F197" i="3" s="1"/>
  <c r="S194" i="3"/>
  <c r="U194" i="3"/>
  <c r="V194" i="3"/>
  <c r="T195" i="2" l="1"/>
  <c r="V196" i="2"/>
  <c r="R195" i="3"/>
  <c r="S195" i="3" s="1"/>
  <c r="AD195" i="3" s="1"/>
  <c r="F197" i="2"/>
  <c r="P196" i="2"/>
  <c r="Q196" i="2" s="1"/>
  <c r="AA196" i="2" s="1"/>
  <c r="M197" i="2"/>
  <c r="U196" i="2"/>
  <c r="V195" i="2"/>
  <c r="W195" i="2" s="1"/>
  <c r="X195" i="3"/>
  <c r="S196" i="3"/>
  <c r="AD196" i="3" s="1"/>
  <c r="N197" i="3"/>
  <c r="R197" i="3" s="1"/>
  <c r="S197" i="3" s="1"/>
  <c r="AD197" i="3" s="1"/>
  <c r="X196" i="3"/>
  <c r="W196" i="3"/>
  <c r="Y197" i="3" s="1"/>
  <c r="AD194" i="3"/>
  <c r="Z194" i="3"/>
  <c r="F198" i="3"/>
  <c r="W195" i="3" l="1"/>
  <c r="T196" i="2"/>
  <c r="V197" i="2" s="1"/>
  <c r="F198" i="2"/>
  <c r="P197" i="2"/>
  <c r="Q197" i="2" s="1"/>
  <c r="AA197" i="2" s="1"/>
  <c r="W197" i="3"/>
  <c r="M198" i="2"/>
  <c r="W196" i="2"/>
  <c r="Z195" i="3"/>
  <c r="Z197" i="3"/>
  <c r="F199" i="3"/>
  <c r="Y196" i="3"/>
  <c r="Z196" i="3" s="1"/>
  <c r="X197" i="3"/>
  <c r="N198" i="3"/>
  <c r="Y198" i="3" l="1"/>
  <c r="U197" i="2"/>
  <c r="T197" i="2"/>
  <c r="V198" i="2" s="1"/>
  <c r="M199" i="2"/>
  <c r="F199" i="2"/>
  <c r="P198" i="2"/>
  <c r="Q198" i="2" s="1"/>
  <c r="AA198" i="2" s="1"/>
  <c r="W197" i="2"/>
  <c r="N199" i="3"/>
  <c r="R199" i="3" s="1"/>
  <c r="F200" i="3"/>
  <c r="R198" i="3"/>
  <c r="U198" i="2" l="1"/>
  <c r="M200" i="2"/>
  <c r="T198" i="2"/>
  <c r="V199" i="2" s="1"/>
  <c r="W198" i="2"/>
  <c r="F200" i="2"/>
  <c r="P199" i="2"/>
  <c r="Q199" i="2" s="1"/>
  <c r="AA199" i="2" s="1"/>
  <c r="S199" i="3"/>
  <c r="AD199" i="3" s="1"/>
  <c r="S198" i="3"/>
  <c r="W198" i="3"/>
  <c r="F201" i="3"/>
  <c r="N200" i="3"/>
  <c r="X199" i="3"/>
  <c r="X198" i="3"/>
  <c r="W199" i="3"/>
  <c r="U199" i="2" l="1"/>
  <c r="T199" i="2"/>
  <c r="V200" i="2" s="1"/>
  <c r="F201" i="2"/>
  <c r="P200" i="2"/>
  <c r="Q200" i="2" s="1"/>
  <c r="AA200" i="2" s="1"/>
  <c r="M201" i="2"/>
  <c r="U200" i="2"/>
  <c r="W199" i="2"/>
  <c r="F202" i="3"/>
  <c r="N201" i="3"/>
  <c r="R201" i="3" s="1"/>
  <c r="Y199" i="3"/>
  <c r="Z199" i="3" s="1"/>
  <c r="Y200" i="3"/>
  <c r="R200" i="3"/>
  <c r="AD198" i="3"/>
  <c r="Z198" i="3"/>
  <c r="T200" i="2" l="1"/>
  <c r="V201" i="2" s="1"/>
  <c r="W200" i="2"/>
  <c r="F202" i="2"/>
  <c r="P201" i="2"/>
  <c r="Q201" i="2" s="1"/>
  <c r="AA201" i="2" s="1"/>
  <c r="M202" i="2"/>
  <c r="U201" i="2"/>
  <c r="S201" i="3"/>
  <c r="AD201" i="3" s="1"/>
  <c r="W201" i="3"/>
  <c r="S200" i="3"/>
  <c r="AD200" i="3" s="1"/>
  <c r="W200" i="3"/>
  <c r="X201" i="3"/>
  <c r="N202" i="3"/>
  <c r="X200" i="3"/>
  <c r="F203" i="3"/>
  <c r="Y201" i="3" l="1"/>
  <c r="Z201" i="3" s="1"/>
  <c r="T201" i="2"/>
  <c r="V202" i="2" s="1"/>
  <c r="F203" i="2"/>
  <c r="P202" i="2"/>
  <c r="Q202" i="2" s="1"/>
  <c r="AA202" i="2" s="1"/>
  <c r="M203" i="2"/>
  <c r="W201" i="2"/>
  <c r="Y202" i="3"/>
  <c r="F204" i="3"/>
  <c r="N203" i="3"/>
  <c r="R203" i="3" s="1"/>
  <c r="R202" i="3"/>
  <c r="Z200" i="3"/>
  <c r="T202" i="2" l="1"/>
  <c r="F204" i="2"/>
  <c r="P203" i="2"/>
  <c r="Q203" i="2" s="1"/>
  <c r="AA203" i="2" s="1"/>
  <c r="U202" i="2"/>
  <c r="V203" i="2" s="1"/>
  <c r="W203" i="2" s="1"/>
  <c r="M204" i="2"/>
  <c r="U203" i="2"/>
  <c r="W202" i="2"/>
  <c r="S203" i="3"/>
  <c r="AD203" i="3" s="1"/>
  <c r="W203" i="3"/>
  <c r="F205" i="3"/>
  <c r="S202" i="3"/>
  <c r="W202" i="3"/>
  <c r="N204" i="3"/>
  <c r="X203" i="3"/>
  <c r="X202" i="3"/>
  <c r="M205" i="2" l="1"/>
  <c r="T203" i="2"/>
  <c r="V204" i="2" s="1"/>
  <c r="F205" i="2"/>
  <c r="P204" i="2"/>
  <c r="Q204" i="2" s="1"/>
  <c r="AA204" i="2" s="1"/>
  <c r="Y203" i="3"/>
  <c r="Z203" i="3" s="1"/>
  <c r="F206" i="3"/>
  <c r="AD202" i="3"/>
  <c r="Z202" i="3"/>
  <c r="Y204" i="3"/>
  <c r="N205" i="3"/>
  <c r="R204" i="3"/>
  <c r="X204" i="3" s="1"/>
  <c r="W204" i="2" l="1"/>
  <c r="U204" i="2"/>
  <c r="T204" i="2"/>
  <c r="M206" i="2"/>
  <c r="F206" i="2"/>
  <c r="P205" i="2"/>
  <c r="Q205" i="2" s="1"/>
  <c r="AA205" i="2" s="1"/>
  <c r="N206" i="3"/>
  <c r="R206" i="3" s="1"/>
  <c r="R205" i="3"/>
  <c r="S204" i="3"/>
  <c r="AD204" i="3" s="1"/>
  <c r="W204" i="3"/>
  <c r="Y205" i="3" s="1"/>
  <c r="F207" i="3"/>
  <c r="T205" i="2" l="1"/>
  <c r="V205" i="2"/>
  <c r="W205" i="2" s="1"/>
  <c r="M207" i="2"/>
  <c r="F207" i="2"/>
  <c r="P206" i="2"/>
  <c r="Q206" i="2" s="1"/>
  <c r="AA206" i="2" s="1"/>
  <c r="U205" i="2"/>
  <c r="V206" i="2" s="1"/>
  <c r="W206" i="2" s="1"/>
  <c r="S206" i="3"/>
  <c r="AD206" i="3" s="1"/>
  <c r="Z204" i="3"/>
  <c r="F208" i="3"/>
  <c r="S205" i="3"/>
  <c r="AD205" i="3" s="1"/>
  <c r="W205" i="3"/>
  <c r="X206" i="3"/>
  <c r="N207" i="3"/>
  <c r="W206" i="3"/>
  <c r="X205" i="3"/>
  <c r="T206" i="2" l="1"/>
  <c r="F208" i="2"/>
  <c r="P207" i="2"/>
  <c r="Q207" i="2" s="1"/>
  <c r="AA207" i="2" s="1"/>
  <c r="U206" i="2"/>
  <c r="V207" i="2" s="1"/>
  <c r="W207" i="2" s="1"/>
  <c r="M208" i="2"/>
  <c r="U207" i="2"/>
  <c r="N208" i="3"/>
  <c r="R208" i="3" s="1"/>
  <c r="W208" i="3" s="1"/>
  <c r="F209" i="3"/>
  <c r="Z205" i="3"/>
  <c r="Y207" i="3"/>
  <c r="Y206" i="3"/>
  <c r="Z206" i="3" s="1"/>
  <c r="R207" i="3"/>
  <c r="X207" i="3" s="1"/>
  <c r="M209" i="2" l="1"/>
  <c r="T207" i="2"/>
  <c r="V208" i="2" s="1"/>
  <c r="F209" i="2"/>
  <c r="P208" i="2"/>
  <c r="Q208" i="2" s="1"/>
  <c r="AA208" i="2" s="1"/>
  <c r="F210" i="3"/>
  <c r="S207" i="3"/>
  <c r="AD207" i="3" s="1"/>
  <c r="W207" i="3"/>
  <c r="Y208" i="3" s="1"/>
  <c r="S208" i="3"/>
  <c r="AD208" i="3" s="1"/>
  <c r="N209" i="3"/>
  <c r="X208" i="3"/>
  <c r="Y209" i="3" s="1"/>
  <c r="W208" i="2" l="1"/>
  <c r="F210" i="2"/>
  <c r="P209" i="2"/>
  <c r="Q209" i="2" s="1"/>
  <c r="AA209" i="2" s="1"/>
  <c r="U208" i="2"/>
  <c r="T208" i="2"/>
  <c r="M210" i="2"/>
  <c r="U209" i="2"/>
  <c r="Z207" i="3"/>
  <c r="N210" i="3"/>
  <c r="R209" i="3"/>
  <c r="Z208" i="3"/>
  <c r="F211" i="3"/>
  <c r="V209" i="2" l="1"/>
  <c r="W209" i="2"/>
  <c r="M211" i="2"/>
  <c r="T209" i="2"/>
  <c r="V210" i="2" s="1"/>
  <c r="F211" i="2"/>
  <c r="P210" i="2"/>
  <c r="Q210" i="2" s="1"/>
  <c r="AA210" i="2" s="1"/>
  <c r="N211" i="3"/>
  <c r="R211" i="3" s="1"/>
  <c r="S209" i="3"/>
  <c r="W209" i="3"/>
  <c r="F212" i="3"/>
  <c r="R210" i="3"/>
  <c r="X209" i="3"/>
  <c r="W210" i="2" l="1"/>
  <c r="U210" i="2"/>
  <c r="T210" i="2"/>
  <c r="V211" i="2" s="1"/>
  <c r="M212" i="2"/>
  <c r="F212" i="2"/>
  <c r="P211" i="2"/>
  <c r="Q211" i="2" s="1"/>
  <c r="AA211" i="2" s="1"/>
  <c r="S211" i="3"/>
  <c r="AD211" i="3" s="1"/>
  <c r="S210" i="3"/>
  <c r="AD210" i="3" s="1"/>
  <c r="W210" i="3"/>
  <c r="Y210" i="3"/>
  <c r="W211" i="3"/>
  <c r="AD209" i="3"/>
  <c r="Z209" i="3"/>
  <c r="F213" i="3"/>
  <c r="N212" i="3"/>
  <c r="X211" i="3"/>
  <c r="X210" i="3"/>
  <c r="Z210" i="3" l="1"/>
  <c r="U211" i="2"/>
  <c r="M213" i="2"/>
  <c r="T211" i="2"/>
  <c r="V212" i="2" s="1"/>
  <c r="W211" i="2"/>
  <c r="F213" i="2"/>
  <c r="P212" i="2"/>
  <c r="Q212" i="2" s="1"/>
  <c r="AA212" i="2" s="1"/>
  <c r="Y212" i="3"/>
  <c r="F214" i="3"/>
  <c r="N213" i="3"/>
  <c r="Y211" i="3"/>
  <c r="Z211" i="3" s="1"/>
  <c r="R212" i="3"/>
  <c r="W212" i="2" l="1"/>
  <c r="T212" i="2"/>
  <c r="U212" i="2"/>
  <c r="V213" i="2" s="1"/>
  <c r="F214" i="2"/>
  <c r="P213" i="2"/>
  <c r="Q213" i="2" s="1"/>
  <c r="AA213" i="2" s="1"/>
  <c r="M214" i="2"/>
  <c r="N214" i="3"/>
  <c r="R214" i="3" s="1"/>
  <c r="R213" i="3"/>
  <c r="S212" i="3"/>
  <c r="W212" i="3"/>
  <c r="X212" i="3"/>
  <c r="F215" i="3"/>
  <c r="U213" i="2" l="1"/>
  <c r="W213" i="2"/>
  <c r="F215" i="2"/>
  <c r="P214" i="2"/>
  <c r="Q214" i="2" s="1"/>
  <c r="AA214" i="2" s="1"/>
  <c r="M215" i="2"/>
  <c r="T213" i="2"/>
  <c r="V214" i="2" s="1"/>
  <c r="Y213" i="3"/>
  <c r="S214" i="3"/>
  <c r="AD214" i="3" s="1"/>
  <c r="W214" i="3"/>
  <c r="F216" i="3"/>
  <c r="AD212" i="3"/>
  <c r="Z212" i="3"/>
  <c r="S213" i="3"/>
  <c r="AD213" i="3" s="1"/>
  <c r="W213" i="3"/>
  <c r="X214" i="3"/>
  <c r="Y215" i="3" s="1"/>
  <c r="N215" i="3"/>
  <c r="X213" i="3"/>
  <c r="M216" i="2" l="1"/>
  <c r="W214" i="2"/>
  <c r="T214" i="2"/>
  <c r="U214" i="2"/>
  <c r="F216" i="2"/>
  <c r="P215" i="2"/>
  <c r="Q215" i="2" s="1"/>
  <c r="AA215" i="2" s="1"/>
  <c r="Z213" i="3"/>
  <c r="Y214" i="3"/>
  <c r="Z214" i="3" s="1"/>
  <c r="N216" i="3"/>
  <c r="R215" i="3"/>
  <c r="V215" i="2" l="1"/>
  <c r="W215" i="2"/>
  <c r="T215" i="2"/>
  <c r="F217" i="2"/>
  <c r="P216" i="2"/>
  <c r="Q216" i="2" s="1"/>
  <c r="AA216" i="2" s="1"/>
  <c r="U215" i="2"/>
  <c r="M217" i="2"/>
  <c r="S215" i="3"/>
  <c r="W215" i="3"/>
  <c r="X215" i="3"/>
  <c r="R216" i="3"/>
  <c r="U216" i="2" l="1"/>
  <c r="T216" i="2"/>
  <c r="Y216" i="3"/>
  <c r="M218" i="2"/>
  <c r="F218" i="2"/>
  <c r="P217" i="2"/>
  <c r="Q217" i="2" s="1"/>
  <c r="AA217" i="2" s="1"/>
  <c r="V216" i="2"/>
  <c r="W216" i="2" s="1"/>
  <c r="V216" i="3"/>
  <c r="P216" i="3"/>
  <c r="N217" i="3" s="1"/>
  <c r="H216" i="3"/>
  <c r="F217" i="3" s="1"/>
  <c r="AD215" i="3"/>
  <c r="Z215" i="3"/>
  <c r="S216" i="3"/>
  <c r="AD216" i="3" s="1"/>
  <c r="U216" i="3"/>
  <c r="N218" i="3"/>
  <c r="T217" i="2" l="1"/>
  <c r="F218" i="3"/>
  <c r="F219" i="3" s="1"/>
  <c r="R217" i="3"/>
  <c r="S217" i="3" s="1"/>
  <c r="AD217" i="3" s="1"/>
  <c r="M219" i="2"/>
  <c r="X217" i="3"/>
  <c r="F219" i="2"/>
  <c r="P218" i="2"/>
  <c r="Q218" i="2" s="1"/>
  <c r="AA218" i="2" s="1"/>
  <c r="R218" i="3"/>
  <c r="U217" i="2"/>
  <c r="V218" i="2" s="1"/>
  <c r="V217" i="2"/>
  <c r="W217" i="2" s="1"/>
  <c r="S218" i="3"/>
  <c r="AD218" i="3" s="1"/>
  <c r="W218" i="3"/>
  <c r="F220" i="3"/>
  <c r="Z216" i="3"/>
  <c r="X218" i="3"/>
  <c r="N219" i="3"/>
  <c r="Z217" i="3" l="1"/>
  <c r="R219" i="3"/>
  <c r="S219" i="3" s="1"/>
  <c r="AD219" i="3" s="1"/>
  <c r="W218" i="2"/>
  <c r="F220" i="2"/>
  <c r="P219" i="2"/>
  <c r="Q219" i="2" s="1"/>
  <c r="AA219" i="2" s="1"/>
  <c r="M220" i="2"/>
  <c r="T218" i="2"/>
  <c r="U218" i="2"/>
  <c r="W217" i="3"/>
  <c r="Y218" i="3" s="1"/>
  <c r="Z218" i="3" s="1"/>
  <c r="Y219" i="3"/>
  <c r="F221" i="3"/>
  <c r="N220" i="3"/>
  <c r="X219" i="3"/>
  <c r="W219" i="3" l="1"/>
  <c r="M221" i="2"/>
  <c r="V219" i="2"/>
  <c r="W219" i="2" s="1"/>
  <c r="T219" i="2"/>
  <c r="U219" i="2"/>
  <c r="F221" i="2"/>
  <c r="P220" i="2"/>
  <c r="Q220" i="2" s="1"/>
  <c r="AA220" i="2" s="1"/>
  <c r="Z219" i="3"/>
  <c r="N221" i="3"/>
  <c r="R220" i="3"/>
  <c r="Y220" i="3"/>
  <c r="F222" i="3"/>
  <c r="V220" i="2" l="1"/>
  <c r="W220" i="2"/>
  <c r="T220" i="2"/>
  <c r="F222" i="2"/>
  <c r="P221" i="2"/>
  <c r="Q221" i="2" s="1"/>
  <c r="AA221" i="2" s="1"/>
  <c r="U220" i="2"/>
  <c r="V221" i="2" s="1"/>
  <c r="W221" i="2" s="1"/>
  <c r="M222" i="2"/>
  <c r="S220" i="3"/>
  <c r="AD220" i="3" s="1"/>
  <c r="W220" i="3"/>
  <c r="F223" i="3"/>
  <c r="N222" i="3"/>
  <c r="R221" i="3"/>
  <c r="X221" i="3" s="1"/>
  <c r="X220" i="3"/>
  <c r="T221" i="2" l="1"/>
  <c r="U221" i="2"/>
  <c r="V222" i="2"/>
  <c r="M223" i="2"/>
  <c r="F223" i="2"/>
  <c r="P222" i="2"/>
  <c r="Q222" i="2" s="1"/>
  <c r="AA222" i="2" s="1"/>
  <c r="Y221" i="3"/>
  <c r="F224" i="3"/>
  <c r="N223" i="3"/>
  <c r="S221" i="3"/>
  <c r="AD221" i="3" s="1"/>
  <c r="W221" i="3"/>
  <c r="Y222" i="3" s="1"/>
  <c r="R222" i="3"/>
  <c r="Z220" i="3"/>
  <c r="F224" i="2" l="1"/>
  <c r="P223" i="2"/>
  <c r="Q223" i="2" s="1"/>
  <c r="AA223" i="2" s="1"/>
  <c r="U222" i="2"/>
  <c r="M224" i="2"/>
  <c r="T222" i="2"/>
  <c r="W222" i="2"/>
  <c r="N224" i="3"/>
  <c r="R224" i="3" s="1"/>
  <c r="W224" i="3" s="1"/>
  <c r="R223" i="3"/>
  <c r="Z221" i="3"/>
  <c r="S222" i="3"/>
  <c r="AD222" i="3" s="1"/>
  <c r="W222" i="3"/>
  <c r="X222" i="3"/>
  <c r="F225" i="3"/>
  <c r="U223" i="2" l="1"/>
  <c r="T223" i="2"/>
  <c r="V224" i="2" s="1"/>
  <c r="V223" i="2"/>
  <c r="W223" i="2" s="1"/>
  <c r="M225" i="2"/>
  <c r="F225" i="2"/>
  <c r="P224" i="2"/>
  <c r="Q224" i="2" s="1"/>
  <c r="AA224" i="2" s="1"/>
  <c r="S223" i="3"/>
  <c r="AD223" i="3" s="1"/>
  <c r="W223" i="3"/>
  <c r="Y223" i="3"/>
  <c r="X223" i="3"/>
  <c r="S224" i="3"/>
  <c r="AD224" i="3" s="1"/>
  <c r="X224" i="3"/>
  <c r="Y225" i="3" s="1"/>
  <c r="N225" i="3"/>
  <c r="F226" i="3"/>
  <c r="Z222" i="3"/>
  <c r="Z223" i="3" l="1"/>
  <c r="T224" i="2"/>
  <c r="M226" i="2"/>
  <c r="F226" i="2"/>
  <c r="P225" i="2"/>
  <c r="Q225" i="2" s="1"/>
  <c r="AA225" i="2" s="1"/>
  <c r="W224" i="2"/>
  <c r="U224" i="2"/>
  <c r="V225" i="2" s="1"/>
  <c r="W225" i="2" s="1"/>
  <c r="Y224" i="3"/>
  <c r="Z224" i="3" s="1"/>
  <c r="N226" i="3"/>
  <c r="F227" i="3"/>
  <c r="R225" i="3"/>
  <c r="T225" i="2" l="1"/>
  <c r="F227" i="2"/>
  <c r="P226" i="2"/>
  <c r="Q226" i="2" s="1"/>
  <c r="AA226" i="2" s="1"/>
  <c r="U225" i="2"/>
  <c r="V226" i="2" s="1"/>
  <c r="W226" i="2" s="1"/>
  <c r="M227" i="2"/>
  <c r="S225" i="3"/>
  <c r="W225" i="3"/>
  <c r="F228" i="3"/>
  <c r="X225" i="3"/>
  <c r="N227" i="3"/>
  <c r="R226" i="3"/>
  <c r="X226" i="3" s="1"/>
  <c r="T226" i="2" l="1"/>
  <c r="M228" i="2"/>
  <c r="F228" i="2"/>
  <c r="P227" i="2"/>
  <c r="Q227" i="2" s="1"/>
  <c r="AA227" i="2" s="1"/>
  <c r="U226" i="2"/>
  <c r="N228" i="3"/>
  <c r="R228" i="3" s="1"/>
  <c r="F229" i="3"/>
  <c r="Y226" i="3"/>
  <c r="S226" i="3"/>
  <c r="AD226" i="3" s="1"/>
  <c r="W226" i="3"/>
  <c r="Y227" i="3" s="1"/>
  <c r="R227" i="3"/>
  <c r="X227" i="3" s="1"/>
  <c r="AD225" i="3"/>
  <c r="Z225" i="3"/>
  <c r="U227" i="2" l="1"/>
  <c r="F229" i="2"/>
  <c r="P228" i="2"/>
  <c r="Q228" i="2" s="1"/>
  <c r="AA228" i="2" s="1"/>
  <c r="M229" i="2"/>
  <c r="T227" i="2"/>
  <c r="V228" i="2" s="1"/>
  <c r="V227" i="2"/>
  <c r="W227" i="2" s="1"/>
  <c r="S228" i="3"/>
  <c r="AD228" i="3" s="1"/>
  <c r="F230" i="3"/>
  <c r="Z226" i="3"/>
  <c r="S227" i="3"/>
  <c r="AD227" i="3" s="1"/>
  <c r="W227" i="3"/>
  <c r="Y228" i="3" s="1"/>
  <c r="W228" i="3"/>
  <c r="X228" i="3"/>
  <c r="N229" i="3"/>
  <c r="Z228" i="3" l="1"/>
  <c r="M230" i="2"/>
  <c r="W228" i="2"/>
  <c r="T228" i="2"/>
  <c r="U228" i="2"/>
  <c r="F230" i="2"/>
  <c r="P229" i="2"/>
  <c r="Q229" i="2" s="1"/>
  <c r="AA229" i="2" s="1"/>
  <c r="Y229" i="3"/>
  <c r="F231" i="3"/>
  <c r="N230" i="3"/>
  <c r="R230" i="3" s="1"/>
  <c r="R229" i="3"/>
  <c r="Z227" i="3"/>
  <c r="V229" i="2" l="1"/>
  <c r="T229" i="2"/>
  <c r="W229" i="2"/>
  <c r="F231" i="2"/>
  <c r="P230" i="2"/>
  <c r="Q230" i="2" s="1"/>
  <c r="AA230" i="2" s="1"/>
  <c r="U229" i="2"/>
  <c r="V230" i="2" s="1"/>
  <c r="M231" i="2"/>
  <c r="U230" i="2"/>
  <c r="S230" i="3"/>
  <c r="AD230" i="3" s="1"/>
  <c r="S229" i="3"/>
  <c r="W229" i="3"/>
  <c r="F232" i="3"/>
  <c r="X229" i="3"/>
  <c r="W230" i="3"/>
  <c r="N231" i="3"/>
  <c r="X230" i="3"/>
  <c r="W230" i="2" l="1"/>
  <c r="T230" i="2"/>
  <c r="V231" i="2" s="1"/>
  <c r="F232" i="2"/>
  <c r="P231" i="2"/>
  <c r="Q231" i="2" s="1"/>
  <c r="AA231" i="2" s="1"/>
  <c r="M232" i="2"/>
  <c r="U231" i="2"/>
  <c r="Y231" i="3"/>
  <c r="N232" i="3"/>
  <c r="R232" i="3" s="1"/>
  <c r="W232" i="3" s="1"/>
  <c r="F233" i="3"/>
  <c r="Y230" i="3"/>
  <c r="Z230" i="3" s="1"/>
  <c r="R231" i="3"/>
  <c r="AD229" i="3"/>
  <c r="Z229" i="3"/>
  <c r="T231" i="2" l="1"/>
  <c r="V232" i="2" s="1"/>
  <c r="F233" i="2"/>
  <c r="P232" i="2"/>
  <c r="Q232" i="2" s="1"/>
  <c r="AA232" i="2" s="1"/>
  <c r="M233" i="2"/>
  <c r="W231" i="2"/>
  <c r="S231" i="3"/>
  <c r="W231" i="3"/>
  <c r="F234" i="3"/>
  <c r="X231" i="3"/>
  <c r="S232" i="3"/>
  <c r="AD232" i="3" s="1"/>
  <c r="X232" i="3"/>
  <c r="Y233" i="3" s="1"/>
  <c r="N233" i="3"/>
  <c r="R233" i="3" s="1"/>
  <c r="T232" i="2" l="1"/>
  <c r="U232" i="2"/>
  <c r="V233" i="2" s="1"/>
  <c r="F234" i="2"/>
  <c r="P233" i="2"/>
  <c r="Q233" i="2" s="1"/>
  <c r="AA233" i="2" s="1"/>
  <c r="M234" i="2"/>
  <c r="W232" i="2"/>
  <c r="S233" i="3"/>
  <c r="AD233" i="3" s="1"/>
  <c r="W233" i="3"/>
  <c r="N234" i="3"/>
  <c r="R234" i="3" s="1"/>
  <c r="S234" i="3" s="1"/>
  <c r="AD234" i="3" s="1"/>
  <c r="X233" i="3"/>
  <c r="Y232" i="3"/>
  <c r="Z232" i="3" s="1"/>
  <c r="F235" i="3"/>
  <c r="AD231" i="3"/>
  <c r="Z231" i="3"/>
  <c r="T233" i="2" l="1"/>
  <c r="Z233" i="3"/>
  <c r="U233" i="2"/>
  <c r="F235" i="2"/>
  <c r="P234" i="2"/>
  <c r="Q234" i="2" s="1"/>
  <c r="AA234" i="2" s="1"/>
  <c r="M235" i="2"/>
  <c r="W233" i="2"/>
  <c r="Y234" i="3"/>
  <c r="Z234" i="3" s="1"/>
  <c r="N235" i="3"/>
  <c r="R235" i="3" s="1"/>
  <c r="S235" i="3" s="1"/>
  <c r="AD235" i="3" s="1"/>
  <c r="X234" i="3"/>
  <c r="F236" i="3"/>
  <c r="W234" i="3"/>
  <c r="U234" i="2" l="1"/>
  <c r="F236" i="2"/>
  <c r="P235" i="2"/>
  <c r="Q235" i="2" s="1"/>
  <c r="AA235" i="2" s="1"/>
  <c r="M236" i="2"/>
  <c r="U235" i="2"/>
  <c r="T234" i="2"/>
  <c r="V235" i="2" s="1"/>
  <c r="W235" i="2" s="1"/>
  <c r="V234" i="2"/>
  <c r="W234" i="2" s="1"/>
  <c r="W235" i="3"/>
  <c r="Y235" i="3"/>
  <c r="Z235" i="3" s="1"/>
  <c r="N236" i="3"/>
  <c r="R236" i="3" s="1"/>
  <c r="X235" i="3"/>
  <c r="T235" i="2" l="1"/>
  <c r="V236" i="2" s="1"/>
  <c r="Y236" i="3"/>
  <c r="M237" i="2"/>
  <c r="F237" i="2"/>
  <c r="P236" i="2"/>
  <c r="Q236" i="2" s="1"/>
  <c r="AA236" i="2" s="1"/>
  <c r="S236" i="3"/>
  <c r="AD236" i="3" s="1"/>
  <c r="H236" i="3"/>
  <c r="F237" i="3" s="1"/>
  <c r="F238" i="3" s="1"/>
  <c r="P236" i="3"/>
  <c r="N237" i="3" s="1"/>
  <c r="U236" i="3"/>
  <c r="V236" i="3"/>
  <c r="T236" i="2" l="1"/>
  <c r="W236" i="2"/>
  <c r="U236" i="2"/>
  <c r="V237" i="2" s="1"/>
  <c r="M238" i="2"/>
  <c r="F238" i="2"/>
  <c r="P237" i="2"/>
  <c r="Q237" i="2" s="1"/>
  <c r="AA237" i="2" s="1"/>
  <c r="Z236" i="3"/>
  <c r="F239" i="3"/>
  <c r="N238" i="3"/>
  <c r="R237" i="3"/>
  <c r="W237" i="3" s="1"/>
  <c r="T237" i="2" l="1"/>
  <c r="U237" i="2"/>
  <c r="V238" i="2" s="1"/>
  <c r="M239" i="2"/>
  <c r="F239" i="2"/>
  <c r="P238" i="2"/>
  <c r="Q238" i="2" s="1"/>
  <c r="AA238" i="2" s="1"/>
  <c r="X237" i="3"/>
  <c r="Y238" i="3" s="1"/>
  <c r="W237" i="2"/>
  <c r="F240" i="3"/>
  <c r="S237" i="3"/>
  <c r="AD237" i="3" s="1"/>
  <c r="N239" i="3"/>
  <c r="R239" i="3" s="1"/>
  <c r="R238" i="3"/>
  <c r="X238" i="3" s="1"/>
  <c r="W238" i="2" l="1"/>
  <c r="U238" i="2"/>
  <c r="M240" i="2"/>
  <c r="T238" i="2"/>
  <c r="V239" i="2" s="1"/>
  <c r="F240" i="2"/>
  <c r="P239" i="2"/>
  <c r="Q239" i="2" s="1"/>
  <c r="AA239" i="2" s="1"/>
  <c r="S239" i="3"/>
  <c r="AD239" i="3" s="1"/>
  <c r="W239" i="3"/>
  <c r="F241" i="3"/>
  <c r="N240" i="3"/>
  <c r="R240" i="3" s="1"/>
  <c r="S240" i="3" s="1"/>
  <c r="AD240" i="3" s="1"/>
  <c r="X239" i="3"/>
  <c r="S238" i="3"/>
  <c r="AD238" i="3" s="1"/>
  <c r="W238" i="3"/>
  <c r="Y239" i="3" s="1"/>
  <c r="Z237" i="3"/>
  <c r="W239" i="2" l="1"/>
  <c r="U239" i="2"/>
  <c r="Z239" i="3"/>
  <c r="T239" i="2"/>
  <c r="V240" i="2" s="1"/>
  <c r="M241" i="2"/>
  <c r="F241" i="2"/>
  <c r="P240" i="2"/>
  <c r="Q240" i="2" s="1"/>
  <c r="AA240" i="2" s="1"/>
  <c r="F242" i="3"/>
  <c r="Z238" i="3"/>
  <c r="W240" i="3"/>
  <c r="X240" i="3"/>
  <c r="N241" i="3"/>
  <c r="Y240" i="3"/>
  <c r="Z240" i="3" s="1"/>
  <c r="T240" i="2" l="1"/>
  <c r="W240" i="2"/>
  <c r="M242" i="2"/>
  <c r="F242" i="2"/>
  <c r="P241" i="2"/>
  <c r="Q241" i="2" s="1"/>
  <c r="AA241" i="2" s="1"/>
  <c r="U240" i="2"/>
  <c r="V241" i="2" s="1"/>
  <c r="W241" i="2" s="1"/>
  <c r="Y241" i="3"/>
  <c r="N242" i="3"/>
  <c r="R242" i="3" s="1"/>
  <c r="F243" i="3"/>
  <c r="R241" i="3"/>
  <c r="T241" i="2" l="1"/>
  <c r="F243" i="2"/>
  <c r="P242" i="2"/>
  <c r="Q242" i="2" s="1"/>
  <c r="AA242" i="2" s="1"/>
  <c r="U241" i="2"/>
  <c r="V242" i="2" s="1"/>
  <c r="W242" i="2" s="1"/>
  <c r="M243" i="2"/>
  <c r="F244" i="3"/>
  <c r="S242" i="3"/>
  <c r="AD242" i="3" s="1"/>
  <c r="N243" i="3"/>
  <c r="R243" i="3" s="1"/>
  <c r="X242" i="3"/>
  <c r="S241" i="3"/>
  <c r="W241" i="3"/>
  <c r="W242" i="3"/>
  <c r="X241" i="3"/>
  <c r="U242" i="2" l="1"/>
  <c r="T242" i="2"/>
  <c r="M244" i="2"/>
  <c r="F244" i="2"/>
  <c r="P243" i="2"/>
  <c r="Q243" i="2" s="1"/>
  <c r="AA243" i="2" s="1"/>
  <c r="Y243" i="3"/>
  <c r="Y242" i="3"/>
  <c r="Z242" i="3" s="1"/>
  <c r="S243" i="3"/>
  <c r="AD243" i="3" s="1"/>
  <c r="W243" i="3"/>
  <c r="AD241" i="3"/>
  <c r="Z241" i="3"/>
  <c r="N244" i="3"/>
  <c r="R244" i="3" s="1"/>
  <c r="S244" i="3" s="1"/>
  <c r="AD244" i="3" s="1"/>
  <c r="X243" i="3"/>
  <c r="F245" i="3"/>
  <c r="U243" i="2" l="1"/>
  <c r="M245" i="2"/>
  <c r="T243" i="2"/>
  <c r="V244" i="2" s="1"/>
  <c r="V243" i="2"/>
  <c r="W243" i="2" s="1"/>
  <c r="F245" i="2"/>
  <c r="P244" i="2"/>
  <c r="Q244" i="2" s="1"/>
  <c r="AA244" i="2" s="1"/>
  <c r="Z243" i="3"/>
  <c r="W244" i="3"/>
  <c r="F246" i="3"/>
  <c r="X244" i="3"/>
  <c r="N245" i="3"/>
  <c r="Y244" i="3"/>
  <c r="Z244" i="3" s="1"/>
  <c r="Y245" i="3" l="1"/>
  <c r="U244" i="2"/>
  <c r="T244" i="2"/>
  <c r="W244" i="2"/>
  <c r="F246" i="2"/>
  <c r="P245" i="2"/>
  <c r="Q245" i="2" s="1"/>
  <c r="AA245" i="2" s="1"/>
  <c r="M246" i="2"/>
  <c r="U245" i="2"/>
  <c r="F247" i="3"/>
  <c r="N246" i="3"/>
  <c r="R245" i="3"/>
  <c r="T245" i="2" l="1"/>
  <c r="V246" i="2" s="1"/>
  <c r="V245" i="2"/>
  <c r="F247" i="2"/>
  <c r="P246" i="2"/>
  <c r="Q246" i="2" s="1"/>
  <c r="AA246" i="2" s="1"/>
  <c r="M247" i="2"/>
  <c r="W245" i="2"/>
  <c r="F248" i="3"/>
  <c r="N247" i="3"/>
  <c r="R246" i="3"/>
  <c r="S245" i="3"/>
  <c r="W245" i="3"/>
  <c r="X245" i="3"/>
  <c r="T246" i="2" l="1"/>
  <c r="U246" i="2"/>
  <c r="F248" i="2"/>
  <c r="P247" i="2"/>
  <c r="Q247" i="2" s="1"/>
  <c r="AA247" i="2" s="1"/>
  <c r="M248" i="2"/>
  <c r="W246" i="2"/>
  <c r="Y246" i="3"/>
  <c r="Z246" i="3" s="1"/>
  <c r="N248" i="3"/>
  <c r="AD245" i="3"/>
  <c r="Z245" i="3"/>
  <c r="R247" i="3"/>
  <c r="X247" i="3" s="1"/>
  <c r="S246" i="3"/>
  <c r="AD246" i="3" s="1"/>
  <c r="W246" i="3"/>
  <c r="X246" i="3"/>
  <c r="F249" i="3"/>
  <c r="R248" i="3"/>
  <c r="V247" i="2" l="1"/>
  <c r="T247" i="2"/>
  <c r="Y247" i="3"/>
  <c r="U247" i="2"/>
  <c r="F249" i="2"/>
  <c r="P248" i="2"/>
  <c r="Q248" i="2" s="1"/>
  <c r="AA248" i="2" s="1"/>
  <c r="S248" i="3"/>
  <c r="AD248" i="3" s="1"/>
  <c r="M249" i="2"/>
  <c r="W247" i="2"/>
  <c r="W248" i="3"/>
  <c r="F250" i="3"/>
  <c r="S247" i="3"/>
  <c r="AD247" i="3" s="1"/>
  <c r="W247" i="3"/>
  <c r="Y248" i="3" s="1"/>
  <c r="X248" i="3"/>
  <c r="N249" i="3"/>
  <c r="R249" i="3" s="1"/>
  <c r="Z248" i="3" l="1"/>
  <c r="T248" i="2"/>
  <c r="U248" i="2"/>
  <c r="V249" i="2" s="1"/>
  <c r="M250" i="2"/>
  <c r="F250" i="2"/>
  <c r="P249" i="2"/>
  <c r="Q249" i="2" s="1"/>
  <c r="AA249" i="2" s="1"/>
  <c r="V248" i="2"/>
  <c r="W248" i="2" s="1"/>
  <c r="S249" i="3"/>
  <c r="AD249" i="3" s="1"/>
  <c r="W249" i="3"/>
  <c r="Z247" i="3"/>
  <c r="X249" i="3"/>
  <c r="Y250" i="3" s="1"/>
  <c r="N250" i="3"/>
  <c r="F251" i="3"/>
  <c r="Y249" i="3"/>
  <c r="T249" i="2" l="1"/>
  <c r="W249" i="2"/>
  <c r="U249" i="2"/>
  <c r="F251" i="2"/>
  <c r="P250" i="2"/>
  <c r="Q250" i="2" s="1"/>
  <c r="AA250" i="2" s="1"/>
  <c r="M251" i="2"/>
  <c r="Z249" i="3"/>
  <c r="F252" i="3"/>
  <c r="N251" i="3"/>
  <c r="R251" i="3" s="1"/>
  <c r="R250" i="3"/>
  <c r="V250" i="2" l="1"/>
  <c r="U250" i="2"/>
  <c r="F252" i="2"/>
  <c r="P251" i="2"/>
  <c r="Q251" i="2" s="1"/>
  <c r="AA251" i="2" s="1"/>
  <c r="T250" i="2"/>
  <c r="V251" i="2" s="1"/>
  <c r="M252" i="2"/>
  <c r="W250" i="2"/>
  <c r="S251" i="3"/>
  <c r="AD251" i="3" s="1"/>
  <c r="F253" i="3"/>
  <c r="S250" i="3"/>
  <c r="W250" i="3"/>
  <c r="W251" i="3"/>
  <c r="X250" i="3"/>
  <c r="N252" i="3"/>
  <c r="X251" i="3"/>
  <c r="Y251" i="3" l="1"/>
  <c r="U251" i="2"/>
  <c r="T251" i="2"/>
  <c r="V252" i="2" s="1"/>
  <c r="M253" i="2"/>
  <c r="F253" i="2"/>
  <c r="P252" i="2"/>
  <c r="Q252" i="2" s="1"/>
  <c r="AA252" i="2" s="1"/>
  <c r="W251" i="2"/>
  <c r="Z251" i="3"/>
  <c r="N253" i="3"/>
  <c r="R253" i="3" s="1"/>
  <c r="W253" i="3" s="1"/>
  <c r="AD250" i="3"/>
  <c r="Z250" i="3"/>
  <c r="R252" i="3"/>
  <c r="Y252" i="3"/>
  <c r="F254" i="3"/>
  <c r="U252" i="2" l="1"/>
  <c r="M254" i="2"/>
  <c r="T252" i="2"/>
  <c r="W252" i="2"/>
  <c r="F254" i="2"/>
  <c r="P253" i="2"/>
  <c r="Q253" i="2" s="1"/>
  <c r="AA253" i="2" s="1"/>
  <c r="S253" i="3"/>
  <c r="AD253" i="3" s="1"/>
  <c r="F255" i="3"/>
  <c r="X253" i="3"/>
  <c r="Y254" i="3" s="1"/>
  <c r="N254" i="3"/>
  <c r="S252" i="3"/>
  <c r="AD252" i="3" s="1"/>
  <c r="W252" i="3"/>
  <c r="X252" i="3"/>
  <c r="T253" i="2" l="1"/>
  <c r="U253" i="2"/>
  <c r="F255" i="2"/>
  <c r="P254" i="2"/>
  <c r="Q254" i="2" s="1"/>
  <c r="AA254" i="2" s="1"/>
  <c r="M255" i="2"/>
  <c r="U254" i="2"/>
  <c r="V253" i="2"/>
  <c r="W253" i="2" s="1"/>
  <c r="Y253" i="3"/>
  <c r="Z253" i="3" s="1"/>
  <c r="Z252" i="3"/>
  <c r="F256" i="3"/>
  <c r="N255" i="3"/>
  <c r="R255" i="3" s="1"/>
  <c r="R254" i="3"/>
  <c r="T254" i="2" l="1"/>
  <c r="V255" i="2" s="1"/>
  <c r="F256" i="2"/>
  <c r="P255" i="2"/>
  <c r="Q255" i="2" s="1"/>
  <c r="AA255" i="2" s="1"/>
  <c r="M256" i="2"/>
  <c r="V254" i="2"/>
  <c r="W254" i="2" s="1"/>
  <c r="S255" i="3"/>
  <c r="AD255" i="3" s="1"/>
  <c r="S254" i="3"/>
  <c r="W254" i="3"/>
  <c r="W255" i="3"/>
  <c r="X254" i="3"/>
  <c r="F257" i="3"/>
  <c r="N256" i="3"/>
  <c r="X255" i="3"/>
  <c r="T255" i="2" l="1"/>
  <c r="U255" i="2"/>
  <c r="F257" i="2"/>
  <c r="P256" i="2"/>
  <c r="Q256" i="2" s="1"/>
  <c r="AA256" i="2" s="1"/>
  <c r="M257" i="2"/>
  <c r="U256" i="2"/>
  <c r="W255" i="2"/>
  <c r="N257" i="3"/>
  <c r="R257" i="3" s="1"/>
  <c r="R256" i="3"/>
  <c r="Y256" i="3"/>
  <c r="Y255" i="3"/>
  <c r="Z255" i="3" s="1"/>
  <c r="AD254" i="3"/>
  <c r="Z254" i="3"/>
  <c r="P257" i="2" l="1"/>
  <c r="T256" i="2"/>
  <c r="V256" i="2"/>
  <c r="T260" i="2"/>
  <c r="T261" i="2"/>
  <c r="V257" i="2"/>
  <c r="W257" i="2" s="1"/>
  <c r="U261" i="2"/>
  <c r="U260" i="2"/>
  <c r="AA257" i="2"/>
  <c r="Q262" i="2"/>
  <c r="Q263" i="2"/>
  <c r="Q261" i="2"/>
  <c r="Q260" i="2"/>
  <c r="Q264" i="2"/>
  <c r="W256" i="2"/>
  <c r="S257" i="3"/>
  <c r="AD257" i="3" s="1"/>
  <c r="S256" i="3"/>
  <c r="AD256" i="3" s="1"/>
  <c r="W256" i="3"/>
  <c r="X256" i="3"/>
  <c r="W260" i="2" l="1"/>
  <c r="AA261" i="2"/>
  <c r="AA264" i="2"/>
  <c r="AA260" i="2"/>
  <c r="AA262" i="2"/>
  <c r="AA263" i="2"/>
  <c r="S263" i="3"/>
  <c r="X259" i="3"/>
  <c r="X260" i="3"/>
  <c r="S259" i="3"/>
  <c r="S260" i="3"/>
  <c r="Z256" i="3"/>
  <c r="S262" i="3"/>
  <c r="Y257" i="3"/>
  <c r="Z257" i="3" s="1"/>
  <c r="W260" i="3"/>
  <c r="W259" i="3"/>
  <c r="S261" i="3"/>
  <c r="AD261" i="3"/>
  <c r="AD263" i="3"/>
  <c r="AD262" i="3"/>
  <c r="AD260" i="3"/>
  <c r="AD259" i="3"/>
  <c r="AA268" i="2" l="1"/>
  <c r="AA267" i="2"/>
  <c r="Z259" i="3"/>
  <c r="AD267" i="3"/>
  <c r="AD266" i="3"/>
</calcChain>
</file>

<file path=xl/sharedStrings.xml><?xml version="1.0" encoding="utf-8"?>
<sst xmlns="http://schemas.openxmlformats.org/spreadsheetml/2006/main" count="168" uniqueCount="45">
  <si>
    <t>Date</t>
  </si>
  <si>
    <t>Open</t>
  </si>
  <si>
    <t>High</t>
  </si>
  <si>
    <t>Low</t>
  </si>
  <si>
    <t>Close</t>
  </si>
  <si>
    <t>Adj Close</t>
  </si>
  <si>
    <t>Volume</t>
  </si>
  <si>
    <t>ZM</t>
  </si>
  <si>
    <t>O</t>
  </si>
  <si>
    <t>XOM</t>
  </si>
  <si>
    <t>Assume I invest $1 at *open* in each stock on the first trading day of the year (just to force us to think more about returns)</t>
  </si>
  <si>
    <t>Return</t>
  </si>
  <si>
    <t>Port val</t>
  </si>
  <si>
    <t>Gross</t>
  </si>
  <si>
    <t>Net</t>
  </si>
  <si>
    <t>Value</t>
  </si>
  <si>
    <t>BH</t>
  </si>
  <si>
    <t>mean</t>
  </si>
  <si>
    <t>std</t>
  </si>
  <si>
    <t>skew</t>
  </si>
  <si>
    <t>kurt</t>
  </si>
  <si>
    <t>ac1</t>
  </si>
  <si>
    <t>weights</t>
  </si>
  <si>
    <t>Check</t>
  </si>
  <si>
    <t xml:space="preserve">confirm </t>
  </si>
  <si>
    <t>diff</t>
  </si>
  <si>
    <t>Portfolio</t>
  </si>
  <si>
    <t>Log Returns</t>
  </si>
  <si>
    <t>count</t>
  </si>
  <si>
    <t>incorrect simple mean approximation</t>
  </si>
  <si>
    <t>correct simple mean approximation</t>
  </si>
  <si>
    <t>max</t>
  </si>
  <si>
    <t>min</t>
  </si>
  <si>
    <t>I rebalance at the *close* on the last day of each month</t>
  </si>
  <si>
    <t>RB</t>
  </si>
  <si>
    <t>After</t>
  </si>
  <si>
    <t>Old weights</t>
  </si>
  <si>
    <t>Simple Returns</t>
  </si>
  <si>
    <t>Log returns</t>
  </si>
  <si>
    <t>zm</t>
  </si>
  <si>
    <t>xom</t>
  </si>
  <si>
    <t>bh</t>
  </si>
  <si>
    <t>simple zm</t>
  </si>
  <si>
    <t>simple xom</t>
  </si>
  <si>
    <t>simple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</si>
</sst>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8" fillId="4" borderId="0" xfId="8"/>
    <xf numFmtId="14" fontId="8" fillId="4" borderId="0" xfId="8" applyNumberFormat="1"/>
    <xf numFmtId="0" fontId="6" fillId="2" borderId="0" xfId="6"/>
    <xf numFmtId="14" fontId="1" fillId="11" borderId="0" xfId="20" applyNumberFormat="1"/>
    <xf numFmtId="0" fontId="1" fillId="11" borderId="0" xfId="20"/>
    <xf numFmtId="0" fontId="1" fillId="15" borderId="0" xfId="24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55"/>
  <sheetViews>
    <sheetView workbookViewId="0">
      <selection activeCell="B23" sqref="B23"/>
    </sheetView>
  </sheetViews>
  <sheetFormatPr defaultRowHeight="14.4" x14ac:dyDescent="0.3"/>
  <cols>
    <col min="1" max="1" width="11.5546875" customWidth="1"/>
    <col min="8" max="8" width="9.88671875" customWidth="1"/>
    <col min="9" max="9" width="12.5546875" customWidth="1"/>
  </cols>
  <sheetData>
    <row r="2" spans="1:15" x14ac:dyDescent="0.3">
      <c r="A2" t="s">
        <v>7</v>
      </c>
      <c r="I2" t="s">
        <v>9</v>
      </c>
    </row>
    <row r="3" spans="1:1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I3" t="s">
        <v>0</v>
      </c>
      <c r="J3" t="s">
        <v>1</v>
      </c>
      <c r="K3" t="s">
        <v>2</v>
      </c>
      <c r="L3" t="s">
        <v>3</v>
      </c>
      <c r="M3" t="s">
        <v>4</v>
      </c>
      <c r="N3" t="s">
        <v>5</v>
      </c>
      <c r="O3" t="s">
        <v>6</v>
      </c>
    </row>
    <row r="4" spans="1:15" x14ac:dyDescent="0.3">
      <c r="A4" s="1">
        <v>43832</v>
      </c>
      <c r="B4">
        <v>68.800003000000004</v>
      </c>
      <c r="C4">
        <v>69.235000999999997</v>
      </c>
      <c r="D4">
        <v>68.019997000000004</v>
      </c>
      <c r="E4">
        <v>68.720000999999996</v>
      </c>
      <c r="F4">
        <v>68.720000999999996</v>
      </c>
      <c r="G4">
        <v>1315500</v>
      </c>
      <c r="I4" s="1">
        <v>43832</v>
      </c>
      <c r="J4">
        <v>70.239998</v>
      </c>
      <c r="K4">
        <v>71.019997000000004</v>
      </c>
      <c r="L4">
        <v>70.239998</v>
      </c>
      <c r="M4">
        <v>70.900002000000001</v>
      </c>
      <c r="N4">
        <v>63.633118000000003</v>
      </c>
      <c r="O4">
        <v>12456400</v>
      </c>
    </row>
    <row r="5" spans="1:15" x14ac:dyDescent="0.3">
      <c r="A5" s="1">
        <v>43833</v>
      </c>
      <c r="B5">
        <v>67.620002999999997</v>
      </c>
      <c r="C5">
        <v>68.680000000000007</v>
      </c>
      <c r="D5">
        <v>67.099997999999999</v>
      </c>
      <c r="E5">
        <v>67.279999000000004</v>
      </c>
      <c r="F5">
        <v>67.279999000000004</v>
      </c>
      <c r="G5">
        <v>1127900</v>
      </c>
      <c r="I5" s="1">
        <v>43833</v>
      </c>
      <c r="J5">
        <v>71.339995999999999</v>
      </c>
      <c r="K5">
        <v>71.370002999999997</v>
      </c>
      <c r="L5">
        <v>70.160004000000001</v>
      </c>
      <c r="M5">
        <v>70.330001999999993</v>
      </c>
      <c r="N5">
        <v>63.121540000000003</v>
      </c>
      <c r="O5">
        <v>17386900</v>
      </c>
    </row>
    <row r="6" spans="1:15" x14ac:dyDescent="0.3">
      <c r="A6" s="1">
        <v>43836</v>
      </c>
      <c r="B6">
        <v>66.629997000000003</v>
      </c>
      <c r="C6">
        <v>70.495002999999997</v>
      </c>
      <c r="D6">
        <v>65.811995999999994</v>
      </c>
      <c r="E6">
        <v>70.319999999999993</v>
      </c>
      <c r="F6">
        <v>70.319999999999993</v>
      </c>
      <c r="G6">
        <v>3151600</v>
      </c>
      <c r="I6" s="1">
        <v>43836</v>
      </c>
      <c r="J6">
        <v>70.319999999999993</v>
      </c>
      <c r="K6">
        <v>71.360000999999997</v>
      </c>
      <c r="L6">
        <v>70.230002999999996</v>
      </c>
      <c r="M6">
        <v>70.870002999999997</v>
      </c>
      <c r="N6">
        <v>63.606186000000001</v>
      </c>
      <c r="O6">
        <v>20081900</v>
      </c>
    </row>
    <row r="7" spans="1:15" x14ac:dyDescent="0.3">
      <c r="A7" s="1">
        <v>43837</v>
      </c>
      <c r="B7">
        <v>70.290001000000004</v>
      </c>
      <c r="C7">
        <v>72.838997000000006</v>
      </c>
      <c r="D7">
        <v>69.370002999999997</v>
      </c>
      <c r="E7">
        <v>71.900002000000001</v>
      </c>
      <c r="F7">
        <v>71.900002000000001</v>
      </c>
      <c r="G7">
        <v>6985400</v>
      </c>
      <c r="I7" s="1">
        <v>43837</v>
      </c>
      <c r="J7">
        <v>70.5</v>
      </c>
      <c r="K7">
        <v>70.519997000000004</v>
      </c>
      <c r="L7">
        <v>69.510002</v>
      </c>
      <c r="M7">
        <v>70.290001000000004</v>
      </c>
      <c r="N7">
        <v>63.085631999999997</v>
      </c>
      <c r="O7">
        <v>17387700</v>
      </c>
    </row>
    <row r="8" spans="1:15" x14ac:dyDescent="0.3">
      <c r="A8" s="1">
        <v>43838</v>
      </c>
      <c r="B8">
        <v>71.809997999999993</v>
      </c>
      <c r="C8">
        <v>73.290001000000004</v>
      </c>
      <c r="D8">
        <v>71.029999000000004</v>
      </c>
      <c r="E8">
        <v>72.550003000000004</v>
      </c>
      <c r="F8">
        <v>72.550003000000004</v>
      </c>
      <c r="G8">
        <v>2482300</v>
      </c>
      <c r="I8" s="1">
        <v>43838</v>
      </c>
      <c r="J8">
        <v>70.110000999999997</v>
      </c>
      <c r="K8">
        <v>70.290001000000004</v>
      </c>
      <c r="L8">
        <v>69.169998000000007</v>
      </c>
      <c r="M8">
        <v>69.230002999999996</v>
      </c>
      <c r="N8">
        <v>62.134273999999998</v>
      </c>
      <c r="O8">
        <v>15137700</v>
      </c>
    </row>
    <row r="9" spans="1:15" x14ac:dyDescent="0.3">
      <c r="A9" s="1">
        <v>43839</v>
      </c>
      <c r="B9">
        <v>73.989998</v>
      </c>
      <c r="C9">
        <v>74</v>
      </c>
      <c r="D9">
        <v>71.349997999999999</v>
      </c>
      <c r="E9">
        <v>72.620002999999997</v>
      </c>
      <c r="F9">
        <v>72.620002999999997</v>
      </c>
      <c r="G9">
        <v>2772000</v>
      </c>
      <c r="I9" s="1">
        <v>43839</v>
      </c>
      <c r="J9">
        <v>69.139999000000003</v>
      </c>
      <c r="K9">
        <v>69.900002000000001</v>
      </c>
      <c r="L9">
        <v>68.629997000000003</v>
      </c>
      <c r="M9">
        <v>69.760002</v>
      </c>
      <c r="N9">
        <v>62.609959000000003</v>
      </c>
      <c r="O9">
        <v>14811800</v>
      </c>
    </row>
    <row r="10" spans="1:15" x14ac:dyDescent="0.3">
      <c r="A10" s="1">
        <v>43840</v>
      </c>
      <c r="B10">
        <v>73.080001999999993</v>
      </c>
      <c r="C10">
        <v>73.800003000000004</v>
      </c>
      <c r="D10">
        <v>72.25</v>
      </c>
      <c r="E10">
        <v>73.089995999999999</v>
      </c>
      <c r="F10">
        <v>73.089995999999999</v>
      </c>
      <c r="G10">
        <v>1655100</v>
      </c>
      <c r="I10" s="1">
        <v>43840</v>
      </c>
      <c r="J10">
        <v>69.930000000000007</v>
      </c>
      <c r="K10">
        <v>69.959998999999996</v>
      </c>
      <c r="L10">
        <v>69.120002999999997</v>
      </c>
      <c r="M10">
        <v>69.139999000000003</v>
      </c>
      <c r="N10">
        <v>62.053500999999997</v>
      </c>
      <c r="O10">
        <v>11995600</v>
      </c>
    </row>
    <row r="11" spans="1:15" x14ac:dyDescent="0.3">
      <c r="A11" s="1">
        <v>43843</v>
      </c>
      <c r="B11">
        <v>73.889999000000003</v>
      </c>
      <c r="C11">
        <v>75.580001999999993</v>
      </c>
      <c r="D11">
        <v>73.800003000000004</v>
      </c>
      <c r="E11">
        <v>74.029999000000004</v>
      </c>
      <c r="F11">
        <v>74.029999000000004</v>
      </c>
      <c r="G11">
        <v>3347100</v>
      </c>
      <c r="I11" s="1">
        <v>43843</v>
      </c>
      <c r="J11">
        <v>69.199996999999996</v>
      </c>
      <c r="K11">
        <v>69.870002999999997</v>
      </c>
      <c r="L11">
        <v>69.110000999999997</v>
      </c>
      <c r="M11">
        <v>69.800003000000004</v>
      </c>
      <c r="N11">
        <v>62.645859000000002</v>
      </c>
      <c r="O11">
        <v>9953900</v>
      </c>
    </row>
    <row r="12" spans="1:15" x14ac:dyDescent="0.3">
      <c r="A12" s="1">
        <v>43844</v>
      </c>
      <c r="B12">
        <v>74.319999999999993</v>
      </c>
      <c r="C12">
        <v>75.114998</v>
      </c>
      <c r="D12">
        <v>72.260002</v>
      </c>
      <c r="E12">
        <v>73.160004000000001</v>
      </c>
      <c r="F12">
        <v>73.160004000000001</v>
      </c>
      <c r="G12">
        <v>1909500</v>
      </c>
      <c r="I12" s="1">
        <v>43844</v>
      </c>
      <c r="J12">
        <v>69.379997000000003</v>
      </c>
      <c r="K12">
        <v>69.580001999999993</v>
      </c>
      <c r="L12">
        <v>68.889999000000003</v>
      </c>
      <c r="M12">
        <v>69.199996999999996</v>
      </c>
      <c r="N12">
        <v>62.107353000000003</v>
      </c>
      <c r="O12">
        <v>16261000</v>
      </c>
    </row>
    <row r="13" spans="1:15" x14ac:dyDescent="0.3">
      <c r="A13" s="1">
        <v>43845</v>
      </c>
      <c r="B13">
        <v>73.279999000000004</v>
      </c>
      <c r="C13">
        <v>77.779999000000004</v>
      </c>
      <c r="D13">
        <v>73.199996999999996</v>
      </c>
      <c r="E13">
        <v>76.940002000000007</v>
      </c>
      <c r="F13">
        <v>76.940002000000007</v>
      </c>
      <c r="G13">
        <v>3963500</v>
      </c>
      <c r="I13" s="1">
        <v>43845</v>
      </c>
      <c r="J13">
        <v>69.199996999999996</v>
      </c>
      <c r="K13">
        <v>69.589995999999999</v>
      </c>
      <c r="L13">
        <v>68.889999000000003</v>
      </c>
      <c r="M13">
        <v>69.089995999999999</v>
      </c>
      <c r="N13">
        <v>62.008620999999998</v>
      </c>
      <c r="O13">
        <v>11390300</v>
      </c>
    </row>
    <row r="14" spans="1:15" x14ac:dyDescent="0.3">
      <c r="A14" s="1">
        <v>43846</v>
      </c>
      <c r="B14">
        <v>78</v>
      </c>
      <c r="C14">
        <v>78.790001000000004</v>
      </c>
      <c r="D14">
        <v>75.110000999999997</v>
      </c>
      <c r="E14">
        <v>76.110000999999997</v>
      </c>
      <c r="F14">
        <v>76.110000999999997</v>
      </c>
      <c r="G14">
        <v>2998300</v>
      </c>
      <c r="I14" s="1">
        <v>43846</v>
      </c>
      <c r="J14">
        <v>69.300003000000004</v>
      </c>
      <c r="K14">
        <v>69.580001999999993</v>
      </c>
      <c r="L14">
        <v>68.800003000000004</v>
      </c>
      <c r="M14">
        <v>68.819999999999993</v>
      </c>
      <c r="N14">
        <v>61.766292999999997</v>
      </c>
      <c r="O14" t="s">
        <v>8</v>
      </c>
    </row>
    <row r="15" spans="1:15" x14ac:dyDescent="0.3">
      <c r="A15" s="1">
        <v>43847</v>
      </c>
      <c r="B15">
        <v>76.660004000000001</v>
      </c>
      <c r="C15">
        <v>76.900002000000001</v>
      </c>
      <c r="D15">
        <v>75.489998</v>
      </c>
      <c r="E15">
        <v>75.559997999999993</v>
      </c>
      <c r="F15">
        <v>75.559997999999993</v>
      </c>
      <c r="G15">
        <v>1357400</v>
      </c>
      <c r="I15" s="1">
        <v>43847</v>
      </c>
      <c r="J15">
        <v>68.75</v>
      </c>
      <c r="K15">
        <v>69.080001999999993</v>
      </c>
      <c r="L15">
        <v>68.290001000000004</v>
      </c>
      <c r="M15">
        <v>68.559997999999993</v>
      </c>
      <c r="N15">
        <v>61.532944000000001</v>
      </c>
      <c r="O15">
        <v>18144100</v>
      </c>
    </row>
    <row r="16" spans="1:15" x14ac:dyDescent="0.3">
      <c r="A16" s="1">
        <v>43851</v>
      </c>
      <c r="B16">
        <v>75.559997999999993</v>
      </c>
      <c r="C16">
        <v>77.120002999999997</v>
      </c>
      <c r="D16">
        <v>74.319999999999993</v>
      </c>
      <c r="E16">
        <v>76.730002999999996</v>
      </c>
      <c r="F16">
        <v>76.730002999999996</v>
      </c>
      <c r="G16">
        <v>1606700</v>
      </c>
      <c r="I16" s="1">
        <v>43851</v>
      </c>
      <c r="J16">
        <v>68.379997000000003</v>
      </c>
      <c r="K16">
        <v>68.419998000000007</v>
      </c>
      <c r="L16">
        <v>67.510002</v>
      </c>
      <c r="M16">
        <v>67.580001999999993</v>
      </c>
      <c r="N16">
        <v>60.653396999999998</v>
      </c>
      <c r="O16">
        <v>17982600</v>
      </c>
    </row>
    <row r="17" spans="1:15" x14ac:dyDescent="0.3">
      <c r="A17" s="1">
        <v>43852</v>
      </c>
      <c r="B17">
        <v>77.069999999999993</v>
      </c>
      <c r="C17">
        <v>77.106003000000001</v>
      </c>
      <c r="D17">
        <v>75.459998999999996</v>
      </c>
      <c r="E17">
        <v>75.540001000000004</v>
      </c>
      <c r="F17">
        <v>75.540001000000004</v>
      </c>
      <c r="G17">
        <v>1501600</v>
      </c>
      <c r="I17" s="1">
        <v>43852</v>
      </c>
      <c r="J17">
        <v>67.559997999999993</v>
      </c>
      <c r="K17">
        <v>67.699996999999996</v>
      </c>
      <c r="L17">
        <v>67</v>
      </c>
      <c r="M17">
        <v>67.190002000000007</v>
      </c>
      <c r="N17">
        <v>60.303364000000002</v>
      </c>
      <c r="O17">
        <v>17033100</v>
      </c>
    </row>
    <row r="18" spans="1:15" x14ac:dyDescent="0.3">
      <c r="A18" s="1">
        <v>43853</v>
      </c>
      <c r="B18">
        <v>75.669998000000007</v>
      </c>
      <c r="C18">
        <v>75.970000999999996</v>
      </c>
      <c r="D18">
        <v>74.209998999999996</v>
      </c>
      <c r="E18">
        <v>74.470000999999996</v>
      </c>
      <c r="F18">
        <v>74.470000999999996</v>
      </c>
      <c r="G18">
        <v>1279000</v>
      </c>
      <c r="I18" s="1">
        <v>43853</v>
      </c>
      <c r="J18">
        <v>66.709998999999996</v>
      </c>
      <c r="K18">
        <v>66.930000000000007</v>
      </c>
      <c r="L18">
        <v>66.050003000000004</v>
      </c>
      <c r="M18">
        <v>66.769997000000004</v>
      </c>
      <c r="N18">
        <v>59.926406999999998</v>
      </c>
      <c r="O18">
        <v>19605900</v>
      </c>
    </row>
    <row r="19" spans="1:15" x14ac:dyDescent="0.3">
      <c r="A19" s="1">
        <v>43854</v>
      </c>
      <c r="B19">
        <v>74.970000999999996</v>
      </c>
      <c r="C19">
        <v>76.184997999999993</v>
      </c>
      <c r="D19">
        <v>72.375</v>
      </c>
      <c r="E19">
        <v>73</v>
      </c>
      <c r="F19">
        <v>73</v>
      </c>
      <c r="G19">
        <v>1660200</v>
      </c>
      <c r="I19" s="1">
        <v>43854</v>
      </c>
      <c r="J19">
        <v>66.540001000000004</v>
      </c>
      <c r="K19">
        <v>66.680000000000007</v>
      </c>
      <c r="L19">
        <v>66.040001000000004</v>
      </c>
      <c r="M19">
        <v>66.319999999999993</v>
      </c>
      <c r="N19">
        <v>59.522533000000003</v>
      </c>
      <c r="O19">
        <v>18238600</v>
      </c>
    </row>
    <row r="20" spans="1:15" x14ac:dyDescent="0.3">
      <c r="A20" s="1">
        <v>43857</v>
      </c>
      <c r="B20">
        <v>71.330001999999993</v>
      </c>
      <c r="C20">
        <v>72.132003999999995</v>
      </c>
      <c r="D20">
        <v>70.319999999999993</v>
      </c>
      <c r="E20">
        <v>70.440002000000007</v>
      </c>
      <c r="F20">
        <v>70.440002000000007</v>
      </c>
      <c r="G20">
        <v>1750700</v>
      </c>
      <c r="I20" s="1">
        <v>43857</v>
      </c>
      <c r="J20">
        <v>65.419998000000007</v>
      </c>
      <c r="K20">
        <v>65.730002999999996</v>
      </c>
      <c r="L20">
        <v>64.699996999999996</v>
      </c>
      <c r="M20">
        <v>64.739998</v>
      </c>
      <c r="N20">
        <v>58.104472999999999</v>
      </c>
      <c r="O20">
        <v>21231000</v>
      </c>
    </row>
    <row r="21" spans="1:15" x14ac:dyDescent="0.3">
      <c r="A21" s="1">
        <v>43858</v>
      </c>
      <c r="B21">
        <v>71</v>
      </c>
      <c r="C21">
        <v>72.480002999999996</v>
      </c>
      <c r="D21">
        <v>70.260002</v>
      </c>
      <c r="E21">
        <v>71.510002</v>
      </c>
      <c r="F21">
        <v>71.510002</v>
      </c>
      <c r="G21">
        <v>1598200</v>
      </c>
      <c r="I21" s="1">
        <v>43858</v>
      </c>
      <c r="J21">
        <v>65.110000999999997</v>
      </c>
      <c r="K21">
        <v>65.199996999999996</v>
      </c>
      <c r="L21">
        <v>64.629997000000003</v>
      </c>
      <c r="M21">
        <v>64.650002000000001</v>
      </c>
      <c r="N21">
        <v>58.023705</v>
      </c>
      <c r="O21">
        <v>19664700</v>
      </c>
    </row>
    <row r="22" spans="1:15" x14ac:dyDescent="0.3">
      <c r="A22" s="1">
        <v>43859</v>
      </c>
      <c r="B22">
        <v>72.510002</v>
      </c>
      <c r="C22">
        <v>74.139999000000003</v>
      </c>
      <c r="D22">
        <v>71.212997000000001</v>
      </c>
      <c r="E22">
        <v>73.580001999999993</v>
      </c>
      <c r="F22">
        <v>73.580001999999993</v>
      </c>
      <c r="G22">
        <v>1373400</v>
      </c>
      <c r="I22" s="1">
        <v>43859</v>
      </c>
      <c r="J22">
        <v>65.029999000000004</v>
      </c>
      <c r="K22">
        <v>65.129997000000003</v>
      </c>
      <c r="L22">
        <v>63.900002000000001</v>
      </c>
      <c r="M22">
        <v>64.110000999999997</v>
      </c>
      <c r="N22">
        <v>57.539046999999997</v>
      </c>
      <c r="O22">
        <v>14202800</v>
      </c>
    </row>
    <row r="23" spans="1:15" x14ac:dyDescent="0.3">
      <c r="A23" s="1">
        <v>43860</v>
      </c>
      <c r="B23">
        <v>73.099997999999999</v>
      </c>
      <c r="C23">
        <v>74.800003000000004</v>
      </c>
      <c r="D23">
        <v>72.550003000000004</v>
      </c>
      <c r="E23">
        <v>74.540001000000004</v>
      </c>
      <c r="F23">
        <v>74.540001000000004</v>
      </c>
      <c r="G23">
        <v>1425400</v>
      </c>
      <c r="I23" s="1">
        <v>43860</v>
      </c>
      <c r="J23">
        <v>63.779998999999997</v>
      </c>
      <c r="K23">
        <v>64.879997000000003</v>
      </c>
      <c r="L23">
        <v>63.43</v>
      </c>
      <c r="M23">
        <v>64.790001000000004</v>
      </c>
      <c r="N23">
        <v>58.149352999999998</v>
      </c>
      <c r="O23">
        <v>18544700</v>
      </c>
    </row>
    <row r="24" spans="1:15" x14ac:dyDescent="0.3">
      <c r="A24" s="1">
        <v>43861</v>
      </c>
      <c r="B24">
        <v>74.269997000000004</v>
      </c>
      <c r="C24">
        <v>76.669998000000007</v>
      </c>
      <c r="D24">
        <v>73.300003000000004</v>
      </c>
      <c r="E24">
        <v>76.300003000000004</v>
      </c>
      <c r="F24">
        <v>76.300003000000004</v>
      </c>
      <c r="G24">
        <v>2521700</v>
      </c>
      <c r="I24" s="1">
        <v>43861</v>
      </c>
      <c r="J24">
        <v>63.200001</v>
      </c>
      <c r="K24">
        <v>63.200001</v>
      </c>
      <c r="L24">
        <v>61.860000999999997</v>
      </c>
      <c r="M24">
        <v>62.119999</v>
      </c>
      <c r="N24">
        <v>55.753010000000003</v>
      </c>
      <c r="O24">
        <v>34282900</v>
      </c>
    </row>
    <row r="25" spans="1:15" x14ac:dyDescent="0.3">
      <c r="A25" s="1">
        <v>43864</v>
      </c>
      <c r="B25">
        <v>77.690002000000007</v>
      </c>
      <c r="C25">
        <v>88.940002000000007</v>
      </c>
      <c r="D25">
        <v>77.510002</v>
      </c>
      <c r="E25">
        <v>87.660004000000001</v>
      </c>
      <c r="F25">
        <v>87.660004000000001</v>
      </c>
      <c r="G25">
        <v>12941300</v>
      </c>
      <c r="I25" s="1">
        <v>43864</v>
      </c>
      <c r="J25">
        <v>61.380001</v>
      </c>
      <c r="K25">
        <v>61.419998</v>
      </c>
      <c r="L25">
        <v>60.369999</v>
      </c>
      <c r="M25">
        <v>60.73</v>
      </c>
      <c r="N25">
        <v>54.505477999999997</v>
      </c>
      <c r="O25">
        <v>27389300</v>
      </c>
    </row>
    <row r="26" spans="1:15" x14ac:dyDescent="0.3">
      <c r="A26" s="1">
        <v>43865</v>
      </c>
      <c r="B26">
        <v>91.040001000000004</v>
      </c>
      <c r="C26">
        <v>93.300003000000004</v>
      </c>
      <c r="D26">
        <v>83.5</v>
      </c>
      <c r="E26">
        <v>85.790001000000004</v>
      </c>
      <c r="F26">
        <v>85.790001000000004</v>
      </c>
      <c r="G26">
        <v>10611000</v>
      </c>
      <c r="I26" s="1">
        <v>43865</v>
      </c>
      <c r="J26">
        <v>61.450001</v>
      </c>
      <c r="K26">
        <v>61.91</v>
      </c>
      <c r="L26">
        <v>59.889999000000003</v>
      </c>
      <c r="M26">
        <v>59.970001000000003</v>
      </c>
      <c r="N26">
        <v>53.82338</v>
      </c>
      <c r="O26">
        <v>31922100</v>
      </c>
    </row>
    <row r="27" spans="1:15" x14ac:dyDescent="0.3">
      <c r="A27" s="1">
        <v>43866</v>
      </c>
      <c r="B27">
        <v>85.769997000000004</v>
      </c>
      <c r="C27">
        <v>90.970000999999996</v>
      </c>
      <c r="D27">
        <v>83.754997000000003</v>
      </c>
      <c r="E27">
        <v>86.989998</v>
      </c>
      <c r="F27">
        <v>86.989998</v>
      </c>
      <c r="G27">
        <v>5126800</v>
      </c>
      <c r="I27" s="1">
        <v>43866</v>
      </c>
      <c r="J27">
        <v>60.75</v>
      </c>
      <c r="K27">
        <v>62.93</v>
      </c>
      <c r="L27">
        <v>60.599997999999999</v>
      </c>
      <c r="M27">
        <v>62.73</v>
      </c>
      <c r="N27">
        <v>56.300494999999998</v>
      </c>
      <c r="O27">
        <v>32099200</v>
      </c>
    </row>
    <row r="28" spans="1:15" x14ac:dyDescent="0.3">
      <c r="A28" s="1">
        <v>43867</v>
      </c>
      <c r="B28">
        <v>87</v>
      </c>
      <c r="C28">
        <v>89.440002000000007</v>
      </c>
      <c r="D28">
        <v>85.260002</v>
      </c>
      <c r="E28">
        <v>87.260002</v>
      </c>
      <c r="F28">
        <v>87.260002</v>
      </c>
      <c r="G28">
        <v>2410800</v>
      </c>
      <c r="I28" s="1">
        <v>43867</v>
      </c>
      <c r="J28">
        <v>62.93</v>
      </c>
      <c r="K28">
        <v>63.009998000000003</v>
      </c>
      <c r="L28">
        <v>61.779998999999997</v>
      </c>
      <c r="M28">
        <v>61.880001</v>
      </c>
      <c r="N28">
        <v>55.537621000000001</v>
      </c>
      <c r="O28">
        <v>16055400</v>
      </c>
    </row>
    <row r="29" spans="1:15" x14ac:dyDescent="0.3">
      <c r="A29" s="1">
        <v>43868</v>
      </c>
      <c r="B29">
        <v>87.230002999999996</v>
      </c>
      <c r="C29">
        <v>90.599997999999999</v>
      </c>
      <c r="D29">
        <v>86.809997999999993</v>
      </c>
      <c r="E29">
        <v>88.639999000000003</v>
      </c>
      <c r="F29">
        <v>88.639999000000003</v>
      </c>
      <c r="G29">
        <v>2636600</v>
      </c>
      <c r="I29" s="1">
        <v>43868</v>
      </c>
      <c r="J29">
        <v>61.41</v>
      </c>
      <c r="K29">
        <v>61.66</v>
      </c>
      <c r="L29">
        <v>61.060001</v>
      </c>
      <c r="M29">
        <v>61.470001000000003</v>
      </c>
      <c r="N29">
        <v>55.169635999999997</v>
      </c>
      <c r="O29">
        <v>15112500</v>
      </c>
    </row>
    <row r="30" spans="1:15" x14ac:dyDescent="0.3">
      <c r="A30" s="1">
        <v>43871</v>
      </c>
      <c r="B30">
        <v>89.089995999999999</v>
      </c>
      <c r="C30">
        <v>89.980002999999996</v>
      </c>
      <c r="D30">
        <v>86.910004000000001</v>
      </c>
      <c r="E30">
        <v>89.669998000000007</v>
      </c>
      <c r="F30">
        <v>89.669998000000007</v>
      </c>
      <c r="G30">
        <v>2071600</v>
      </c>
      <c r="I30" s="1">
        <v>43871</v>
      </c>
      <c r="J30">
        <v>60.48</v>
      </c>
      <c r="K30">
        <v>60.52</v>
      </c>
      <c r="L30">
        <v>59.619999</v>
      </c>
      <c r="M30">
        <v>59.959999000000003</v>
      </c>
      <c r="N30">
        <v>54.586987000000001</v>
      </c>
      <c r="O30">
        <v>20934500</v>
      </c>
    </row>
    <row r="31" spans="1:15" x14ac:dyDescent="0.3">
      <c r="A31" s="1">
        <v>43872</v>
      </c>
      <c r="B31">
        <v>90</v>
      </c>
      <c r="C31">
        <v>90.5</v>
      </c>
      <c r="D31">
        <v>87.93</v>
      </c>
      <c r="E31">
        <v>88.68</v>
      </c>
      <c r="F31">
        <v>88.68</v>
      </c>
      <c r="G31">
        <v>2731900</v>
      </c>
      <c r="I31" s="1">
        <v>43872</v>
      </c>
      <c r="J31">
        <v>60.580002</v>
      </c>
      <c r="K31">
        <v>60.889999000000003</v>
      </c>
      <c r="L31">
        <v>60.169998</v>
      </c>
      <c r="M31">
        <v>60.529998999999997</v>
      </c>
      <c r="N31">
        <v>55.105907000000002</v>
      </c>
      <c r="O31">
        <v>14908700</v>
      </c>
    </row>
    <row r="32" spans="1:15" x14ac:dyDescent="0.3">
      <c r="A32" s="1">
        <v>43873</v>
      </c>
      <c r="B32">
        <v>88.660004000000001</v>
      </c>
      <c r="C32">
        <v>89.5</v>
      </c>
      <c r="D32">
        <v>86.519997000000004</v>
      </c>
      <c r="E32">
        <v>88.279999000000004</v>
      </c>
      <c r="F32">
        <v>88.279999000000004</v>
      </c>
      <c r="G32">
        <v>1671100</v>
      </c>
      <c r="I32" s="1">
        <v>43873</v>
      </c>
      <c r="J32">
        <v>61.34</v>
      </c>
      <c r="K32">
        <v>61.529998999999997</v>
      </c>
      <c r="L32">
        <v>60.560001</v>
      </c>
      <c r="M32">
        <v>61.27</v>
      </c>
      <c r="N32">
        <v>55.779594000000003</v>
      </c>
      <c r="O32">
        <v>17862100</v>
      </c>
    </row>
    <row r="33" spans="1:15" x14ac:dyDescent="0.3">
      <c r="A33" s="1">
        <v>43874</v>
      </c>
      <c r="B33">
        <v>87.610000999999997</v>
      </c>
      <c r="C33">
        <v>91.93</v>
      </c>
      <c r="D33">
        <v>87</v>
      </c>
      <c r="E33">
        <v>89.860000999999997</v>
      </c>
      <c r="F33">
        <v>89.860000999999997</v>
      </c>
      <c r="G33">
        <v>3406400</v>
      </c>
      <c r="I33" s="1">
        <v>43874</v>
      </c>
      <c r="J33">
        <v>61.060001</v>
      </c>
      <c r="K33">
        <v>61.419998</v>
      </c>
      <c r="L33">
        <v>60.560001</v>
      </c>
      <c r="M33">
        <v>60.93</v>
      </c>
      <c r="N33">
        <v>55.470061999999999</v>
      </c>
      <c r="O33">
        <v>16949400</v>
      </c>
    </row>
    <row r="34" spans="1:15" x14ac:dyDescent="0.3">
      <c r="A34" s="1">
        <v>43875</v>
      </c>
      <c r="B34">
        <v>90.879997000000003</v>
      </c>
      <c r="C34">
        <v>91.709998999999996</v>
      </c>
      <c r="D34">
        <v>89.809997999999993</v>
      </c>
      <c r="E34">
        <v>90.949996999999996</v>
      </c>
      <c r="F34">
        <v>90.949996999999996</v>
      </c>
      <c r="G34">
        <v>2295000</v>
      </c>
      <c r="I34" s="1">
        <v>43875</v>
      </c>
      <c r="J34">
        <v>61.150002000000001</v>
      </c>
      <c r="K34">
        <v>61.16</v>
      </c>
      <c r="L34">
        <v>60.279998999999997</v>
      </c>
      <c r="M34">
        <v>60.650002000000001</v>
      </c>
      <c r="N34">
        <v>55.215156999999998</v>
      </c>
      <c r="O34">
        <v>10855300</v>
      </c>
    </row>
    <row r="35" spans="1:15" x14ac:dyDescent="0.3">
      <c r="A35" s="1">
        <v>43879</v>
      </c>
      <c r="B35">
        <v>93.019997000000004</v>
      </c>
      <c r="C35">
        <v>98.139999000000003</v>
      </c>
      <c r="D35">
        <v>92.400002000000001</v>
      </c>
      <c r="E35">
        <v>96.389999000000003</v>
      </c>
      <c r="F35">
        <v>96.389999000000003</v>
      </c>
      <c r="G35">
        <v>5608200</v>
      </c>
      <c r="I35" s="1">
        <v>43879</v>
      </c>
      <c r="J35">
        <v>60.150002000000001</v>
      </c>
      <c r="K35">
        <v>60.389999000000003</v>
      </c>
      <c r="L35">
        <v>59.450001</v>
      </c>
      <c r="M35">
        <v>59.880001</v>
      </c>
      <c r="N35">
        <v>54.514156</v>
      </c>
      <c r="O35">
        <v>18948500</v>
      </c>
    </row>
    <row r="36" spans="1:15" x14ac:dyDescent="0.3">
      <c r="A36" s="1">
        <v>43880</v>
      </c>
      <c r="B36">
        <v>100.32</v>
      </c>
      <c r="C36">
        <v>105.08000199999999</v>
      </c>
      <c r="D36">
        <v>99.75</v>
      </c>
      <c r="E36">
        <v>103.93</v>
      </c>
      <c r="F36">
        <v>103.93</v>
      </c>
      <c r="G36">
        <v>7793800</v>
      </c>
      <c r="I36" s="1">
        <v>43880</v>
      </c>
      <c r="J36">
        <v>60.110000999999997</v>
      </c>
      <c r="K36">
        <v>60.619999</v>
      </c>
      <c r="L36">
        <v>59.830002</v>
      </c>
      <c r="M36">
        <v>60.34</v>
      </c>
      <c r="N36">
        <v>54.932929999999999</v>
      </c>
      <c r="O36">
        <v>12804900</v>
      </c>
    </row>
    <row r="37" spans="1:15" x14ac:dyDescent="0.3">
      <c r="A37" s="1">
        <v>43881</v>
      </c>
      <c r="B37">
        <v>104</v>
      </c>
      <c r="C37">
        <v>110.75</v>
      </c>
      <c r="D37">
        <v>101.43</v>
      </c>
      <c r="E37">
        <v>105.290001</v>
      </c>
      <c r="F37">
        <v>105.290001</v>
      </c>
      <c r="G37">
        <v>11293200</v>
      </c>
      <c r="I37" s="1">
        <v>43881</v>
      </c>
      <c r="J37">
        <v>60.23</v>
      </c>
      <c r="K37">
        <v>60.540000999999997</v>
      </c>
      <c r="L37">
        <v>59.720001000000003</v>
      </c>
      <c r="M37">
        <v>59.860000999999997</v>
      </c>
      <c r="N37">
        <v>54.495953</v>
      </c>
      <c r="O37">
        <v>14817200</v>
      </c>
    </row>
    <row r="38" spans="1:15" x14ac:dyDescent="0.3">
      <c r="A38" s="1">
        <v>43882</v>
      </c>
      <c r="B38">
        <v>104.029999</v>
      </c>
      <c r="C38">
        <v>104.290001</v>
      </c>
      <c r="D38">
        <v>98.089995999999999</v>
      </c>
      <c r="E38">
        <v>101.760002</v>
      </c>
      <c r="F38">
        <v>101.760002</v>
      </c>
      <c r="G38">
        <v>5519200</v>
      </c>
      <c r="I38" s="1">
        <v>43882</v>
      </c>
      <c r="J38">
        <v>59.509998000000003</v>
      </c>
      <c r="K38">
        <v>59.509998000000003</v>
      </c>
      <c r="L38">
        <v>58.790000999999997</v>
      </c>
      <c r="M38">
        <v>59.130001</v>
      </c>
      <c r="N38">
        <v>53.831364000000001</v>
      </c>
      <c r="O38">
        <v>20315700</v>
      </c>
    </row>
    <row r="39" spans="1:15" x14ac:dyDescent="0.3">
      <c r="A39" s="1">
        <v>43885</v>
      </c>
      <c r="B39">
        <v>97.800003000000004</v>
      </c>
      <c r="C39">
        <v>110</v>
      </c>
      <c r="D39">
        <v>97.019997000000004</v>
      </c>
      <c r="E39">
        <v>105.010002</v>
      </c>
      <c r="F39">
        <v>105.010002</v>
      </c>
      <c r="G39">
        <v>12172800</v>
      </c>
      <c r="I39" s="1">
        <v>43885</v>
      </c>
      <c r="J39">
        <v>57.619999</v>
      </c>
      <c r="K39">
        <v>57.799999</v>
      </c>
      <c r="L39">
        <v>56.360000999999997</v>
      </c>
      <c r="M39">
        <v>56.360000999999997</v>
      </c>
      <c r="N39">
        <v>51.309581999999999</v>
      </c>
      <c r="O39">
        <v>32096600</v>
      </c>
    </row>
    <row r="40" spans="1:15" x14ac:dyDescent="0.3">
      <c r="A40" s="1">
        <v>43886</v>
      </c>
      <c r="B40">
        <v>108.519997</v>
      </c>
      <c r="C40">
        <v>111.800003</v>
      </c>
      <c r="D40">
        <v>104.466003</v>
      </c>
      <c r="E40">
        <v>107.08000199999999</v>
      </c>
      <c r="F40">
        <v>107.08000199999999</v>
      </c>
      <c r="G40">
        <v>13425900</v>
      </c>
      <c r="I40" s="1">
        <v>43886</v>
      </c>
      <c r="J40">
        <v>56.75</v>
      </c>
      <c r="K40">
        <v>56.75</v>
      </c>
      <c r="L40">
        <v>53.970001000000003</v>
      </c>
      <c r="M40">
        <v>54.200001</v>
      </c>
      <c r="N40">
        <v>49.343142999999998</v>
      </c>
      <c r="O40">
        <v>36414500</v>
      </c>
    </row>
    <row r="41" spans="1:15" x14ac:dyDescent="0.3">
      <c r="A41" s="1">
        <v>43887</v>
      </c>
      <c r="B41">
        <v>109.943001</v>
      </c>
      <c r="C41">
        <v>111.300003</v>
      </c>
      <c r="D41">
        <v>105.599998</v>
      </c>
      <c r="E41">
        <v>106.879997</v>
      </c>
      <c r="F41">
        <v>106.879997</v>
      </c>
      <c r="G41">
        <v>6867500</v>
      </c>
      <c r="I41" s="1">
        <v>43887</v>
      </c>
      <c r="J41">
        <v>54.549999</v>
      </c>
      <c r="K41">
        <v>54.82</v>
      </c>
      <c r="L41">
        <v>52.93</v>
      </c>
      <c r="M41">
        <v>53.009998000000003</v>
      </c>
      <c r="N41">
        <v>48.259773000000003</v>
      </c>
      <c r="O41">
        <v>29801000</v>
      </c>
    </row>
    <row r="42" spans="1:15" x14ac:dyDescent="0.3">
      <c r="A42" s="1">
        <v>43888</v>
      </c>
      <c r="B42">
        <v>109.43</v>
      </c>
      <c r="C42">
        <v>118</v>
      </c>
      <c r="D42">
        <v>107.599998</v>
      </c>
      <c r="E42">
        <v>113.550003</v>
      </c>
      <c r="F42">
        <v>113.550003</v>
      </c>
      <c r="G42">
        <v>13511800</v>
      </c>
      <c r="I42" s="1">
        <v>43888</v>
      </c>
      <c r="J42">
        <v>51.709999000000003</v>
      </c>
      <c r="K42">
        <v>52.439999</v>
      </c>
      <c r="L42">
        <v>49.799999</v>
      </c>
      <c r="M42">
        <v>49.82</v>
      </c>
      <c r="N42">
        <v>45.355629</v>
      </c>
      <c r="O42">
        <v>48141300</v>
      </c>
    </row>
    <row r="43" spans="1:15" x14ac:dyDescent="0.3">
      <c r="A43" s="1">
        <v>43889</v>
      </c>
      <c r="B43">
        <v>121.07</v>
      </c>
      <c r="C43">
        <v>121.93</v>
      </c>
      <c r="D43">
        <v>97.370002999999997</v>
      </c>
      <c r="E43">
        <v>105</v>
      </c>
      <c r="F43">
        <v>105</v>
      </c>
      <c r="G43">
        <v>21617100</v>
      </c>
      <c r="I43" s="1">
        <v>43889</v>
      </c>
      <c r="J43">
        <v>48.77</v>
      </c>
      <c r="K43">
        <v>51.439999</v>
      </c>
      <c r="L43">
        <v>48.009998000000003</v>
      </c>
      <c r="M43">
        <v>51.439999</v>
      </c>
      <c r="N43">
        <v>46.830463000000002</v>
      </c>
      <c r="O43">
        <v>62446700</v>
      </c>
    </row>
    <row r="44" spans="1:15" x14ac:dyDescent="0.3">
      <c r="A44" s="1">
        <v>43892</v>
      </c>
      <c r="B44">
        <v>109.349998</v>
      </c>
      <c r="C44">
        <v>114.5</v>
      </c>
      <c r="D44">
        <v>102.5</v>
      </c>
      <c r="E44">
        <v>113.110001</v>
      </c>
      <c r="F44">
        <v>113.110001</v>
      </c>
      <c r="G44">
        <v>10157400</v>
      </c>
      <c r="I44" s="1">
        <v>43892</v>
      </c>
      <c r="J44">
        <v>52.59</v>
      </c>
      <c r="K44">
        <v>53.889999000000003</v>
      </c>
      <c r="L44">
        <v>51.130001</v>
      </c>
      <c r="M44">
        <v>53.880001</v>
      </c>
      <c r="N44">
        <v>49.051819000000002</v>
      </c>
      <c r="O44">
        <v>38127600</v>
      </c>
    </row>
    <row r="45" spans="1:15" x14ac:dyDescent="0.3">
      <c r="A45" s="1">
        <v>43893</v>
      </c>
      <c r="B45">
        <v>114.550003</v>
      </c>
      <c r="C45">
        <v>119.199997</v>
      </c>
      <c r="D45">
        <v>112.110001</v>
      </c>
      <c r="E45">
        <v>117.470001</v>
      </c>
      <c r="F45">
        <v>117.470001</v>
      </c>
      <c r="G45">
        <v>11033700</v>
      </c>
      <c r="I45" s="1">
        <v>43893</v>
      </c>
      <c r="J45">
        <v>53.950001</v>
      </c>
      <c r="K45">
        <v>54.150002000000001</v>
      </c>
      <c r="L45">
        <v>50.98</v>
      </c>
      <c r="M45">
        <v>51.299999</v>
      </c>
      <c r="N45">
        <v>46.703010999999996</v>
      </c>
      <c r="O45">
        <v>50580700</v>
      </c>
    </row>
    <row r="46" spans="1:15" x14ac:dyDescent="0.3">
      <c r="A46" s="1">
        <v>43894</v>
      </c>
      <c r="B46">
        <v>118.510002</v>
      </c>
      <c r="C46">
        <v>119.970001</v>
      </c>
      <c r="D46">
        <v>113.110001</v>
      </c>
      <c r="E46">
        <v>116.800003</v>
      </c>
      <c r="F46">
        <v>116.800003</v>
      </c>
      <c r="G46">
        <v>12102600</v>
      </c>
      <c r="I46" s="1">
        <v>43894</v>
      </c>
      <c r="J46">
        <v>52.23</v>
      </c>
      <c r="K46">
        <v>52.48</v>
      </c>
      <c r="L46">
        <v>51.119999</v>
      </c>
      <c r="M46">
        <v>52.419998</v>
      </c>
      <c r="N46">
        <v>47.722645</v>
      </c>
      <c r="O46">
        <v>24079600</v>
      </c>
    </row>
    <row r="47" spans="1:15" x14ac:dyDescent="0.3">
      <c r="A47" s="1">
        <v>43895</v>
      </c>
      <c r="B47">
        <v>110.25</v>
      </c>
      <c r="C47">
        <v>129.83000200000001</v>
      </c>
      <c r="D47">
        <v>110</v>
      </c>
      <c r="E47">
        <v>125</v>
      </c>
      <c r="F47">
        <v>125</v>
      </c>
      <c r="G47">
        <v>28149400</v>
      </c>
      <c r="I47" s="1">
        <v>43895</v>
      </c>
      <c r="J47">
        <v>50.419998</v>
      </c>
      <c r="K47">
        <v>50.700001</v>
      </c>
      <c r="L47">
        <v>49.040000999999997</v>
      </c>
      <c r="M47">
        <v>50.110000999999997</v>
      </c>
      <c r="N47">
        <v>45.619647999999998</v>
      </c>
      <c r="O47">
        <v>40788200</v>
      </c>
    </row>
    <row r="48" spans="1:15" x14ac:dyDescent="0.3">
      <c r="A48" s="1">
        <v>43896</v>
      </c>
      <c r="B48">
        <v>119.650002</v>
      </c>
      <c r="C48">
        <v>122</v>
      </c>
      <c r="D48">
        <v>107</v>
      </c>
      <c r="E48">
        <v>114.32</v>
      </c>
      <c r="F48">
        <v>114.32</v>
      </c>
      <c r="G48">
        <v>22975700</v>
      </c>
      <c r="I48" s="1">
        <v>43896</v>
      </c>
      <c r="J48">
        <v>48.84</v>
      </c>
      <c r="K48">
        <v>49.009998000000003</v>
      </c>
      <c r="L48">
        <v>47.200001</v>
      </c>
      <c r="M48">
        <v>47.689999</v>
      </c>
      <c r="N48">
        <v>43.416499999999999</v>
      </c>
      <c r="O48">
        <v>55640500</v>
      </c>
    </row>
    <row r="49" spans="1:15" x14ac:dyDescent="0.3">
      <c r="A49" s="1">
        <v>43899</v>
      </c>
      <c r="B49">
        <v>105</v>
      </c>
      <c r="C49">
        <v>116.5</v>
      </c>
      <c r="D49">
        <v>100.879997</v>
      </c>
      <c r="E49">
        <v>113.75</v>
      </c>
      <c r="F49">
        <v>113.75</v>
      </c>
      <c r="G49">
        <v>14571300</v>
      </c>
      <c r="I49" s="1">
        <v>43899</v>
      </c>
      <c r="J49">
        <v>41.709999000000003</v>
      </c>
      <c r="K49">
        <v>44.57</v>
      </c>
      <c r="L49">
        <v>40.799999</v>
      </c>
      <c r="M49">
        <v>41.860000999999997</v>
      </c>
      <c r="N49">
        <v>38.108929000000003</v>
      </c>
      <c r="O49">
        <v>72896300</v>
      </c>
    </row>
    <row r="50" spans="1:15" x14ac:dyDescent="0.3">
      <c r="A50" s="1">
        <v>43900</v>
      </c>
      <c r="B50">
        <v>113.800003</v>
      </c>
      <c r="C50">
        <v>113.800003</v>
      </c>
      <c r="D50">
        <v>105</v>
      </c>
      <c r="E50">
        <v>108.489998</v>
      </c>
      <c r="F50">
        <v>108.489998</v>
      </c>
      <c r="G50">
        <v>10244000</v>
      </c>
      <c r="I50" s="1">
        <v>43900</v>
      </c>
      <c r="J50">
        <v>46.169998</v>
      </c>
      <c r="K50">
        <v>46.259998000000003</v>
      </c>
      <c r="L50">
        <v>41.450001</v>
      </c>
      <c r="M50">
        <v>43.41</v>
      </c>
      <c r="N50">
        <v>39.520031000000003</v>
      </c>
      <c r="O50">
        <v>60445900</v>
      </c>
    </row>
    <row r="51" spans="1:15" x14ac:dyDescent="0.3">
      <c r="A51" s="1">
        <v>43901</v>
      </c>
      <c r="B51">
        <v>108.410004</v>
      </c>
      <c r="C51">
        <v>113.989998</v>
      </c>
      <c r="D51">
        <v>107</v>
      </c>
      <c r="E51">
        <v>110.300003</v>
      </c>
      <c r="F51">
        <v>110.300003</v>
      </c>
      <c r="G51">
        <v>12576700</v>
      </c>
      <c r="I51" s="1">
        <v>43901</v>
      </c>
      <c r="J51">
        <v>42.389999000000003</v>
      </c>
      <c r="K51">
        <v>43.48</v>
      </c>
      <c r="L51">
        <v>41.75</v>
      </c>
      <c r="M51">
        <v>41.98</v>
      </c>
      <c r="N51">
        <v>38.218178000000002</v>
      </c>
      <c r="O51">
        <v>51986100</v>
      </c>
    </row>
    <row r="52" spans="1:15" x14ac:dyDescent="0.3">
      <c r="A52" s="1">
        <v>43902</v>
      </c>
      <c r="B52">
        <v>106.25</v>
      </c>
      <c r="C52">
        <v>113.871002</v>
      </c>
      <c r="D52">
        <v>104.389999</v>
      </c>
      <c r="E52">
        <v>109.470001</v>
      </c>
      <c r="F52">
        <v>109.470001</v>
      </c>
      <c r="G52">
        <v>12097900</v>
      </c>
      <c r="I52" s="1">
        <v>43902</v>
      </c>
      <c r="J52">
        <v>39.900002000000001</v>
      </c>
      <c r="K52">
        <v>40.650002000000001</v>
      </c>
      <c r="L52">
        <v>37</v>
      </c>
      <c r="M52">
        <v>37.18</v>
      </c>
      <c r="N52">
        <v>33.848305000000003</v>
      </c>
      <c r="O52">
        <v>65725300</v>
      </c>
    </row>
    <row r="53" spans="1:15" x14ac:dyDescent="0.3">
      <c r="A53" s="1">
        <v>43903</v>
      </c>
      <c r="B53">
        <v>113</v>
      </c>
      <c r="C53">
        <v>113.800003</v>
      </c>
      <c r="D53">
        <v>104.160004</v>
      </c>
      <c r="E53">
        <v>107.470001</v>
      </c>
      <c r="F53">
        <v>107.470001</v>
      </c>
      <c r="G53">
        <v>9233500</v>
      </c>
      <c r="I53" s="1">
        <v>43903</v>
      </c>
      <c r="J53">
        <v>40.009998000000003</v>
      </c>
      <c r="K53">
        <v>40.139999000000003</v>
      </c>
      <c r="L53">
        <v>35</v>
      </c>
      <c r="M53">
        <v>38.119999</v>
      </c>
      <c r="N53">
        <v>34.704062999999998</v>
      </c>
      <c r="O53">
        <v>79891500</v>
      </c>
    </row>
    <row r="54" spans="1:15" x14ac:dyDescent="0.3">
      <c r="A54" s="1">
        <v>43906</v>
      </c>
      <c r="B54">
        <v>105</v>
      </c>
      <c r="C54">
        <v>119.870003</v>
      </c>
      <c r="D54">
        <v>103.199997</v>
      </c>
      <c r="E54">
        <v>107.860001</v>
      </c>
      <c r="F54">
        <v>107.860001</v>
      </c>
      <c r="G54">
        <v>17210700</v>
      </c>
      <c r="I54" s="1">
        <v>43906</v>
      </c>
      <c r="J54">
        <v>34.400002000000001</v>
      </c>
      <c r="K54">
        <v>37.880001</v>
      </c>
      <c r="L54">
        <v>33.25</v>
      </c>
      <c r="M54">
        <v>34.490001999999997</v>
      </c>
      <c r="N54">
        <v>31.399355</v>
      </c>
      <c r="O54">
        <v>48924700</v>
      </c>
    </row>
    <row r="55" spans="1:15" x14ac:dyDescent="0.3">
      <c r="A55" s="1">
        <v>43907</v>
      </c>
      <c r="B55">
        <v>107.33000199999999</v>
      </c>
      <c r="C55">
        <v>113.83000199999999</v>
      </c>
      <c r="D55">
        <v>102</v>
      </c>
      <c r="E55">
        <v>111.099998</v>
      </c>
      <c r="F55">
        <v>111.099998</v>
      </c>
      <c r="G55">
        <v>18721500</v>
      </c>
      <c r="I55" s="1">
        <v>43907</v>
      </c>
      <c r="J55">
        <v>35.209999000000003</v>
      </c>
      <c r="K55">
        <v>37.380001</v>
      </c>
      <c r="L55">
        <v>34.200001</v>
      </c>
      <c r="M55">
        <v>36.810001</v>
      </c>
      <c r="N55">
        <v>33.511456000000003</v>
      </c>
      <c r="O55">
        <v>41204400</v>
      </c>
    </row>
    <row r="56" spans="1:15" x14ac:dyDescent="0.3">
      <c r="A56" s="1">
        <v>43908</v>
      </c>
      <c r="B56">
        <v>111</v>
      </c>
      <c r="C56">
        <v>119</v>
      </c>
      <c r="D56">
        <v>108.849998</v>
      </c>
      <c r="E56">
        <v>118.709999</v>
      </c>
      <c r="F56">
        <v>118.709999</v>
      </c>
      <c r="G56">
        <v>13594300</v>
      </c>
      <c r="I56" s="1">
        <v>43908</v>
      </c>
      <c r="J56">
        <v>34.549999</v>
      </c>
      <c r="K56">
        <v>36.709999000000003</v>
      </c>
      <c r="L56">
        <v>31.23</v>
      </c>
      <c r="M56">
        <v>33.119999</v>
      </c>
      <c r="N56">
        <v>30.152117000000001</v>
      </c>
      <c r="O56">
        <v>54036400</v>
      </c>
    </row>
    <row r="57" spans="1:15" x14ac:dyDescent="0.3">
      <c r="A57" s="1">
        <v>43909</v>
      </c>
      <c r="B57">
        <v>122.949997</v>
      </c>
      <c r="C57">
        <v>132.229996</v>
      </c>
      <c r="D57">
        <v>119.099998</v>
      </c>
      <c r="E57">
        <v>123.769997</v>
      </c>
      <c r="F57">
        <v>123.769997</v>
      </c>
      <c r="G57">
        <v>16248400</v>
      </c>
      <c r="I57" s="1">
        <v>43909</v>
      </c>
      <c r="J57">
        <v>33.729999999999997</v>
      </c>
      <c r="K57">
        <v>34.900002000000001</v>
      </c>
      <c r="L57">
        <v>32.349997999999999</v>
      </c>
      <c r="M57">
        <v>34.43</v>
      </c>
      <c r="N57">
        <v>31.344726999999999</v>
      </c>
      <c r="O57">
        <v>49412400</v>
      </c>
    </row>
    <row r="58" spans="1:15" x14ac:dyDescent="0.3">
      <c r="A58" s="1">
        <v>43910</v>
      </c>
      <c r="B58">
        <v>129</v>
      </c>
      <c r="C58">
        <v>135.979996</v>
      </c>
      <c r="D58">
        <v>124</v>
      </c>
      <c r="E58">
        <v>130.550003</v>
      </c>
      <c r="F58">
        <v>130.550003</v>
      </c>
      <c r="G58">
        <v>13872600</v>
      </c>
      <c r="I58" s="1">
        <v>43910</v>
      </c>
      <c r="J58">
        <v>34.840000000000003</v>
      </c>
      <c r="K58">
        <v>35.18</v>
      </c>
      <c r="L58">
        <v>31.559999000000001</v>
      </c>
      <c r="M58">
        <v>32.740001999999997</v>
      </c>
      <c r="N58">
        <v>29.806170000000002</v>
      </c>
      <c r="O58">
        <v>76534600</v>
      </c>
    </row>
    <row r="59" spans="1:15" x14ac:dyDescent="0.3">
      <c r="A59" s="1">
        <v>43913</v>
      </c>
      <c r="B59">
        <v>141.996994</v>
      </c>
      <c r="C59">
        <v>164.94000199999999</v>
      </c>
      <c r="D59">
        <v>137.25</v>
      </c>
      <c r="E59">
        <v>159.55999800000001</v>
      </c>
      <c r="F59">
        <v>159.55999800000001</v>
      </c>
      <c r="G59">
        <v>27681500</v>
      </c>
      <c r="I59" s="1">
        <v>43913</v>
      </c>
      <c r="J59">
        <v>32.529998999999997</v>
      </c>
      <c r="K59">
        <v>32.700001</v>
      </c>
      <c r="L59">
        <v>30.110001</v>
      </c>
      <c r="M59">
        <v>31.450001</v>
      </c>
      <c r="N59">
        <v>28.631767</v>
      </c>
      <c r="O59">
        <v>56952500</v>
      </c>
    </row>
    <row r="60" spans="1:15" x14ac:dyDescent="0.3">
      <c r="A60" s="1">
        <v>43914</v>
      </c>
      <c r="B60">
        <v>154</v>
      </c>
      <c r="C60">
        <v>155</v>
      </c>
      <c r="D60">
        <v>133.88000500000001</v>
      </c>
      <c r="E60">
        <v>135.179993</v>
      </c>
      <c r="F60">
        <v>135.179993</v>
      </c>
      <c r="G60">
        <v>22401300</v>
      </c>
      <c r="I60" s="1">
        <v>43914</v>
      </c>
      <c r="J60">
        <v>34.419998</v>
      </c>
      <c r="K60">
        <v>36.169998</v>
      </c>
      <c r="L60">
        <v>33.330002</v>
      </c>
      <c r="M60">
        <v>35.439999</v>
      </c>
      <c r="N60">
        <v>32.264225000000003</v>
      </c>
      <c r="O60">
        <v>61835600</v>
      </c>
    </row>
    <row r="61" spans="1:15" x14ac:dyDescent="0.3">
      <c r="A61" s="1">
        <v>43915</v>
      </c>
      <c r="B61">
        <v>140.104996</v>
      </c>
      <c r="C61">
        <v>149</v>
      </c>
      <c r="D61">
        <v>136.199997</v>
      </c>
      <c r="E61">
        <v>138.11000100000001</v>
      </c>
      <c r="F61">
        <v>138.11000100000001</v>
      </c>
      <c r="G61">
        <v>14743000</v>
      </c>
      <c r="I61" s="1">
        <v>43915</v>
      </c>
      <c r="J61">
        <v>36.509998000000003</v>
      </c>
      <c r="K61">
        <v>38.590000000000003</v>
      </c>
      <c r="L61">
        <v>35.18</v>
      </c>
      <c r="M61">
        <v>37.290000999999997</v>
      </c>
      <c r="N61">
        <v>33.948444000000002</v>
      </c>
      <c r="O61">
        <v>56607700</v>
      </c>
    </row>
    <row r="62" spans="1:15" x14ac:dyDescent="0.3">
      <c r="A62" s="1">
        <v>43916</v>
      </c>
      <c r="B62">
        <v>140.509995</v>
      </c>
      <c r="C62">
        <v>146.64999399999999</v>
      </c>
      <c r="D62">
        <v>138.199997</v>
      </c>
      <c r="E62">
        <v>141.14999399999999</v>
      </c>
      <c r="F62">
        <v>141.14999399999999</v>
      </c>
      <c r="G62">
        <v>9252700</v>
      </c>
      <c r="I62" s="1">
        <v>43916</v>
      </c>
      <c r="J62">
        <v>37.5</v>
      </c>
      <c r="K62">
        <v>39.560001</v>
      </c>
      <c r="L62">
        <v>36.720001000000003</v>
      </c>
      <c r="M62">
        <v>38.82</v>
      </c>
      <c r="N62">
        <v>35.341343000000002</v>
      </c>
      <c r="O62">
        <v>46722000</v>
      </c>
    </row>
    <row r="63" spans="1:15" x14ac:dyDescent="0.3">
      <c r="A63" s="1">
        <v>43917</v>
      </c>
      <c r="B63">
        <v>145.699997</v>
      </c>
      <c r="C63">
        <v>154.970001</v>
      </c>
      <c r="D63">
        <v>145.60000600000001</v>
      </c>
      <c r="E63">
        <v>151.699997</v>
      </c>
      <c r="F63">
        <v>151.699997</v>
      </c>
      <c r="G63">
        <v>13271900</v>
      </c>
      <c r="I63" s="1">
        <v>43917</v>
      </c>
      <c r="J63">
        <v>37.130001</v>
      </c>
      <c r="K63">
        <v>37.68</v>
      </c>
      <c r="L63">
        <v>36.200001</v>
      </c>
      <c r="M63">
        <v>36.950001</v>
      </c>
      <c r="N63">
        <v>33.638911999999998</v>
      </c>
      <c r="O63">
        <v>51558600</v>
      </c>
    </row>
    <row r="64" spans="1:15" x14ac:dyDescent="0.3">
      <c r="A64" s="1">
        <v>43920</v>
      </c>
      <c r="B64">
        <v>160.759995</v>
      </c>
      <c r="C64">
        <v>161.69000199999999</v>
      </c>
      <c r="D64">
        <v>147.199997</v>
      </c>
      <c r="E64">
        <v>150.88000500000001</v>
      </c>
      <c r="F64">
        <v>150.88000500000001</v>
      </c>
      <c r="G64">
        <v>15762200</v>
      </c>
      <c r="I64" s="1">
        <v>43920</v>
      </c>
      <c r="J64">
        <v>36.229999999999997</v>
      </c>
      <c r="K64">
        <v>38.150002000000001</v>
      </c>
      <c r="L64">
        <v>35.860000999999997</v>
      </c>
      <c r="M64">
        <v>37.5</v>
      </c>
      <c r="N64">
        <v>34.139626</v>
      </c>
      <c r="O64">
        <v>45835000</v>
      </c>
    </row>
    <row r="65" spans="1:15" x14ac:dyDescent="0.3">
      <c r="A65" s="1">
        <v>43921</v>
      </c>
      <c r="B65">
        <v>147.020004</v>
      </c>
      <c r="C65">
        <v>149.78999300000001</v>
      </c>
      <c r="D65">
        <v>143.35699500000001</v>
      </c>
      <c r="E65">
        <v>146.11999499999999</v>
      </c>
      <c r="F65">
        <v>146.11999499999999</v>
      </c>
      <c r="G65">
        <v>10023700</v>
      </c>
      <c r="I65" s="1">
        <v>43921</v>
      </c>
      <c r="J65">
        <v>38.340000000000003</v>
      </c>
      <c r="K65">
        <v>39.450001</v>
      </c>
      <c r="L65">
        <v>37.369999</v>
      </c>
      <c r="M65">
        <v>37.970001000000003</v>
      </c>
      <c r="N65">
        <v>34.567512999999998</v>
      </c>
      <c r="O65">
        <v>41491600</v>
      </c>
    </row>
    <row r="66" spans="1:15" x14ac:dyDescent="0.3">
      <c r="A66" s="1">
        <v>43922</v>
      </c>
      <c r="B66">
        <v>144.5</v>
      </c>
      <c r="C66">
        <v>144.60000600000001</v>
      </c>
      <c r="D66">
        <v>135.179993</v>
      </c>
      <c r="E66">
        <v>137</v>
      </c>
      <c r="F66">
        <v>137</v>
      </c>
      <c r="G66">
        <v>11453300</v>
      </c>
      <c r="I66" s="1">
        <v>43922</v>
      </c>
      <c r="J66">
        <v>36.860000999999997</v>
      </c>
      <c r="K66">
        <v>38.700001</v>
      </c>
      <c r="L66">
        <v>36.340000000000003</v>
      </c>
      <c r="M66">
        <v>37.529998999999997</v>
      </c>
      <c r="N66">
        <v>34.166935000000002</v>
      </c>
      <c r="O66">
        <v>36045900</v>
      </c>
    </row>
    <row r="67" spans="1:15" x14ac:dyDescent="0.3">
      <c r="A67" s="1">
        <v>43923</v>
      </c>
      <c r="B67">
        <v>125.300003</v>
      </c>
      <c r="C67">
        <v>133.48899800000001</v>
      </c>
      <c r="D67">
        <v>114.5</v>
      </c>
      <c r="E67">
        <v>121.93</v>
      </c>
      <c r="F67">
        <v>121.93</v>
      </c>
      <c r="G67">
        <v>27313800</v>
      </c>
      <c r="I67" s="1">
        <v>43923</v>
      </c>
      <c r="J67">
        <v>38.740001999999997</v>
      </c>
      <c r="K67">
        <v>41.959999000000003</v>
      </c>
      <c r="L67">
        <v>37.900002000000001</v>
      </c>
      <c r="M67">
        <v>40.400002000000001</v>
      </c>
      <c r="N67">
        <v>36.779761999999998</v>
      </c>
      <c r="O67">
        <v>62000200</v>
      </c>
    </row>
    <row r="68" spans="1:15" x14ac:dyDescent="0.3">
      <c r="A68" s="1">
        <v>43924</v>
      </c>
      <c r="B68">
        <v>124.300003</v>
      </c>
      <c r="C68">
        <v>128.479996</v>
      </c>
      <c r="D68">
        <v>120.110001</v>
      </c>
      <c r="E68">
        <v>128.199997</v>
      </c>
      <c r="F68">
        <v>128.199997</v>
      </c>
      <c r="G68">
        <v>12238100</v>
      </c>
      <c r="I68" s="1">
        <v>43924</v>
      </c>
      <c r="J68">
        <v>41.450001</v>
      </c>
      <c r="K68">
        <v>42.18</v>
      </c>
      <c r="L68">
        <v>38.520000000000003</v>
      </c>
      <c r="M68">
        <v>39.209999000000003</v>
      </c>
      <c r="N68">
        <v>35.696392000000003</v>
      </c>
      <c r="O68">
        <v>48425700</v>
      </c>
    </row>
    <row r="69" spans="1:15" x14ac:dyDescent="0.3">
      <c r="A69" s="1">
        <v>43927</v>
      </c>
      <c r="B69">
        <v>113.629997</v>
      </c>
      <c r="C69">
        <v>125.175003</v>
      </c>
      <c r="D69">
        <v>108.529999</v>
      </c>
      <c r="E69">
        <v>122.94000200000001</v>
      </c>
      <c r="F69">
        <v>122.94000200000001</v>
      </c>
      <c r="G69">
        <v>25378900</v>
      </c>
      <c r="I69" s="1">
        <v>43927</v>
      </c>
      <c r="J69">
        <v>39.880001</v>
      </c>
      <c r="K69">
        <v>40.830002</v>
      </c>
      <c r="L69">
        <v>39.229999999999997</v>
      </c>
      <c r="M69">
        <v>40.470001000000003</v>
      </c>
      <c r="N69">
        <v>36.843487000000003</v>
      </c>
      <c r="O69">
        <v>41301900</v>
      </c>
    </row>
    <row r="70" spans="1:15" x14ac:dyDescent="0.3">
      <c r="A70" s="1">
        <v>43928</v>
      </c>
      <c r="B70">
        <v>118.004997</v>
      </c>
      <c r="C70">
        <v>118.44000200000001</v>
      </c>
      <c r="D70">
        <v>109.570999</v>
      </c>
      <c r="E70">
        <v>113.75</v>
      </c>
      <c r="F70">
        <v>113.75</v>
      </c>
      <c r="G70">
        <v>20166200</v>
      </c>
      <c r="I70" s="1">
        <v>43928</v>
      </c>
      <c r="J70">
        <v>42.900002000000001</v>
      </c>
      <c r="K70">
        <v>43.32</v>
      </c>
      <c r="L70">
        <v>41.16</v>
      </c>
      <c r="M70">
        <v>41.240001999999997</v>
      </c>
      <c r="N70">
        <v>37.544491000000001</v>
      </c>
      <c r="O70">
        <v>48921800</v>
      </c>
    </row>
    <row r="71" spans="1:15" x14ac:dyDescent="0.3">
      <c r="A71" s="1">
        <v>43929</v>
      </c>
      <c r="B71">
        <v>115.019997</v>
      </c>
      <c r="C71">
        <v>125.87799800000001</v>
      </c>
      <c r="D71">
        <v>112.5</v>
      </c>
      <c r="E71">
        <v>117.80999799999999</v>
      </c>
      <c r="F71">
        <v>117.80999799999999</v>
      </c>
      <c r="G71">
        <v>26243300</v>
      </c>
      <c r="I71" s="1">
        <v>43929</v>
      </c>
      <c r="J71">
        <v>41.950001</v>
      </c>
      <c r="K71">
        <v>44.040000999999997</v>
      </c>
      <c r="L71">
        <v>41.470001000000003</v>
      </c>
      <c r="M71">
        <v>43.849997999999999</v>
      </c>
      <c r="N71">
        <v>39.920600999999998</v>
      </c>
      <c r="O71">
        <v>33355600</v>
      </c>
    </row>
    <row r="72" spans="1:15" x14ac:dyDescent="0.3">
      <c r="A72" s="1">
        <v>43930</v>
      </c>
      <c r="B72">
        <v>117.800003</v>
      </c>
      <c r="C72">
        <v>125.5</v>
      </c>
      <c r="D72">
        <v>114</v>
      </c>
      <c r="E72">
        <v>124.510002</v>
      </c>
      <c r="F72">
        <v>124.510002</v>
      </c>
      <c r="G72">
        <v>15513000</v>
      </c>
      <c r="I72" s="1">
        <v>43930</v>
      </c>
      <c r="J72">
        <v>45.459999000000003</v>
      </c>
      <c r="K72">
        <v>46.709999000000003</v>
      </c>
      <c r="L72">
        <v>41.740001999999997</v>
      </c>
      <c r="M72">
        <v>43.130001</v>
      </c>
      <c r="N72">
        <v>39.265121000000001</v>
      </c>
      <c r="O72">
        <v>60107300</v>
      </c>
    </row>
    <row r="73" spans="1:15" x14ac:dyDescent="0.3">
      <c r="A73" s="1">
        <v>43934</v>
      </c>
      <c r="B73">
        <v>127</v>
      </c>
      <c r="C73">
        <v>136.86000100000001</v>
      </c>
      <c r="D73">
        <v>125.603996</v>
      </c>
      <c r="E73">
        <v>135.91999799999999</v>
      </c>
      <c r="F73">
        <v>135.91999799999999</v>
      </c>
      <c r="G73">
        <v>15411700</v>
      </c>
      <c r="I73" s="1">
        <v>43934</v>
      </c>
      <c r="J73">
        <v>44.450001</v>
      </c>
      <c r="K73">
        <v>44.689999</v>
      </c>
      <c r="L73">
        <v>41.970001000000003</v>
      </c>
      <c r="M73">
        <v>42.759998000000003</v>
      </c>
      <c r="N73">
        <v>38.928275999999997</v>
      </c>
      <c r="O73">
        <v>29651900</v>
      </c>
    </row>
    <row r="74" spans="1:15" x14ac:dyDescent="0.3">
      <c r="A74" s="1">
        <v>43935</v>
      </c>
      <c r="B74">
        <v>141.070007</v>
      </c>
      <c r="C74">
        <v>145.199997</v>
      </c>
      <c r="D74">
        <v>139.009995</v>
      </c>
      <c r="E74">
        <v>141.88999899999999</v>
      </c>
      <c r="F74">
        <v>141.88999899999999</v>
      </c>
      <c r="G74">
        <v>11679900</v>
      </c>
      <c r="I74" s="1">
        <v>43935</v>
      </c>
      <c r="J74">
        <v>43</v>
      </c>
      <c r="K74">
        <v>43.75</v>
      </c>
      <c r="L74">
        <v>41.91</v>
      </c>
      <c r="M74">
        <v>42.43</v>
      </c>
      <c r="N74">
        <v>38.627850000000002</v>
      </c>
      <c r="O74">
        <v>30769000</v>
      </c>
    </row>
    <row r="75" spans="1:15" x14ac:dyDescent="0.3">
      <c r="A75" s="1">
        <v>43936</v>
      </c>
      <c r="B75">
        <v>141.71000699999999</v>
      </c>
      <c r="C75">
        <v>152.570007</v>
      </c>
      <c r="D75">
        <v>140</v>
      </c>
      <c r="E75">
        <v>151.55999800000001</v>
      </c>
      <c r="F75">
        <v>151.55999800000001</v>
      </c>
      <c r="G75">
        <v>14193300</v>
      </c>
      <c r="I75" s="1">
        <v>43936</v>
      </c>
      <c r="J75">
        <v>41</v>
      </c>
      <c r="K75">
        <v>41.060001</v>
      </c>
      <c r="L75">
        <v>39.380001</v>
      </c>
      <c r="M75">
        <v>40.479999999999997</v>
      </c>
      <c r="N75">
        <v>36.852584999999998</v>
      </c>
      <c r="O75">
        <v>33125000</v>
      </c>
    </row>
    <row r="76" spans="1:15" x14ac:dyDescent="0.3">
      <c r="A76" s="1">
        <v>43937</v>
      </c>
      <c r="B76">
        <v>149.91999799999999</v>
      </c>
      <c r="C76">
        <v>154.25</v>
      </c>
      <c r="D76">
        <v>146.800003</v>
      </c>
      <c r="E76">
        <v>150.259995</v>
      </c>
      <c r="F76">
        <v>150.259995</v>
      </c>
      <c r="G76">
        <v>15138200</v>
      </c>
      <c r="I76" s="1">
        <v>43937</v>
      </c>
      <c r="J76">
        <v>40.479999999999997</v>
      </c>
      <c r="K76">
        <v>40.479999999999997</v>
      </c>
      <c r="L76">
        <v>38.93</v>
      </c>
      <c r="M76">
        <v>39.150002000000001</v>
      </c>
      <c r="N76">
        <v>35.641773000000001</v>
      </c>
      <c r="O76">
        <v>30934000</v>
      </c>
    </row>
    <row r="77" spans="1:15" x14ac:dyDescent="0.3">
      <c r="A77" s="1">
        <v>43938</v>
      </c>
      <c r="B77">
        <v>147.91000399999999</v>
      </c>
      <c r="C77">
        <v>153.78900100000001</v>
      </c>
      <c r="D77">
        <v>144.029999</v>
      </c>
      <c r="E77">
        <v>150.05999800000001</v>
      </c>
      <c r="F77">
        <v>150.05999800000001</v>
      </c>
      <c r="G77">
        <v>11328400</v>
      </c>
      <c r="I77" s="1">
        <v>43938</v>
      </c>
      <c r="J77">
        <v>39.880001</v>
      </c>
      <c r="K77">
        <v>43.32</v>
      </c>
      <c r="L77">
        <v>39.869999</v>
      </c>
      <c r="M77">
        <v>43.220001000000003</v>
      </c>
      <c r="N77">
        <v>39.347057</v>
      </c>
      <c r="O77">
        <v>40829100</v>
      </c>
    </row>
    <row r="78" spans="1:15" x14ac:dyDescent="0.3">
      <c r="A78" s="1">
        <v>43941</v>
      </c>
      <c r="B78">
        <v>153.300003</v>
      </c>
      <c r="C78">
        <v>155</v>
      </c>
      <c r="D78">
        <v>148.253998</v>
      </c>
      <c r="E78">
        <v>148.990005</v>
      </c>
      <c r="F78">
        <v>148.990005</v>
      </c>
      <c r="G78">
        <v>11218700</v>
      </c>
      <c r="I78" s="1">
        <v>43941</v>
      </c>
      <c r="J78">
        <v>40.75</v>
      </c>
      <c r="K78">
        <v>42.740001999999997</v>
      </c>
      <c r="L78">
        <v>40.540000999999997</v>
      </c>
      <c r="M78">
        <v>41.18</v>
      </c>
      <c r="N78">
        <v>37.489860999999998</v>
      </c>
      <c r="O78">
        <v>39260800</v>
      </c>
    </row>
    <row r="79" spans="1:15" x14ac:dyDescent="0.3">
      <c r="A79" s="1">
        <v>43942</v>
      </c>
      <c r="B79">
        <v>151.41999799999999</v>
      </c>
      <c r="C79">
        <v>154.75</v>
      </c>
      <c r="D79">
        <v>138.36000100000001</v>
      </c>
      <c r="E79">
        <v>143.270004</v>
      </c>
      <c r="F79">
        <v>143.270004</v>
      </c>
      <c r="G79">
        <v>9709100</v>
      </c>
      <c r="I79" s="1">
        <v>43942</v>
      </c>
      <c r="J79">
        <v>40.400002000000001</v>
      </c>
      <c r="K79">
        <v>42.130001</v>
      </c>
      <c r="L79">
        <v>39.630001</v>
      </c>
      <c r="M79">
        <v>40.959999000000003</v>
      </c>
      <c r="N79">
        <v>37.289577000000001</v>
      </c>
      <c r="O79">
        <v>44381600</v>
      </c>
    </row>
    <row r="80" spans="1:15" x14ac:dyDescent="0.3">
      <c r="A80" s="1">
        <v>43943</v>
      </c>
      <c r="B80">
        <v>147.10000600000001</v>
      </c>
      <c r="C80">
        <v>152.279999</v>
      </c>
      <c r="D80">
        <v>145.10000600000001</v>
      </c>
      <c r="E80">
        <v>150.25</v>
      </c>
      <c r="F80">
        <v>150.25</v>
      </c>
      <c r="G80">
        <v>6520700</v>
      </c>
      <c r="I80" s="1">
        <v>43943</v>
      </c>
      <c r="J80">
        <v>42.599997999999999</v>
      </c>
      <c r="K80">
        <v>42.93</v>
      </c>
      <c r="L80">
        <v>41.860000999999997</v>
      </c>
      <c r="M80">
        <v>42.130001</v>
      </c>
      <c r="N80">
        <v>38.354728999999999</v>
      </c>
      <c r="O80">
        <v>27074200</v>
      </c>
    </row>
    <row r="81" spans="1:15" x14ac:dyDescent="0.3">
      <c r="A81" s="1">
        <v>43944</v>
      </c>
      <c r="B81">
        <v>154.009995</v>
      </c>
      <c r="C81">
        <v>169.75</v>
      </c>
      <c r="D81">
        <v>153.490005</v>
      </c>
      <c r="E81">
        <v>169.08999600000001</v>
      </c>
      <c r="F81">
        <v>169.08999600000001</v>
      </c>
      <c r="G81">
        <v>22159800</v>
      </c>
      <c r="I81" s="1">
        <v>43944</v>
      </c>
      <c r="J81">
        <v>43.130001</v>
      </c>
      <c r="K81">
        <v>44.66</v>
      </c>
      <c r="L81">
        <v>42.810001</v>
      </c>
      <c r="M81">
        <v>43.450001</v>
      </c>
      <c r="N81">
        <v>39.556449999999998</v>
      </c>
      <c r="O81">
        <v>35271000</v>
      </c>
    </row>
    <row r="82" spans="1:15" x14ac:dyDescent="0.3">
      <c r="A82" s="1">
        <v>43945</v>
      </c>
      <c r="B82">
        <v>177.14999399999999</v>
      </c>
      <c r="C82">
        <v>181.5</v>
      </c>
      <c r="D82">
        <v>158.300003</v>
      </c>
      <c r="E82">
        <v>158.800003</v>
      </c>
      <c r="F82">
        <v>158.800003</v>
      </c>
      <c r="G82">
        <v>43814100</v>
      </c>
      <c r="I82" s="1">
        <v>43945</v>
      </c>
      <c r="J82">
        <v>44.400002000000001</v>
      </c>
      <c r="K82">
        <v>44.889999000000003</v>
      </c>
      <c r="L82">
        <v>43.130001</v>
      </c>
      <c r="M82">
        <v>43.73</v>
      </c>
      <c r="N82">
        <v>39.811359000000003</v>
      </c>
      <c r="O82">
        <v>28653800</v>
      </c>
    </row>
    <row r="83" spans="1:15" x14ac:dyDescent="0.3">
      <c r="A83" s="1">
        <v>43948</v>
      </c>
      <c r="B83">
        <v>156.58999600000001</v>
      </c>
      <c r="C83">
        <v>167.85000600000001</v>
      </c>
      <c r="D83">
        <v>155</v>
      </c>
      <c r="E83">
        <v>164.60000600000001</v>
      </c>
      <c r="F83">
        <v>164.60000600000001</v>
      </c>
      <c r="G83">
        <v>19783700</v>
      </c>
      <c r="I83" s="1">
        <v>43948</v>
      </c>
      <c r="J83">
        <v>43.59</v>
      </c>
      <c r="K83">
        <v>44.32</v>
      </c>
      <c r="L83">
        <v>42.23</v>
      </c>
      <c r="M83">
        <v>43.939999</v>
      </c>
      <c r="N83">
        <v>40.002536999999997</v>
      </c>
      <c r="O83">
        <v>28274400</v>
      </c>
    </row>
    <row r="84" spans="1:15" x14ac:dyDescent="0.3">
      <c r="A84" s="1">
        <v>43949</v>
      </c>
      <c r="B84">
        <v>165</v>
      </c>
      <c r="C84">
        <v>166</v>
      </c>
      <c r="D84">
        <v>155.25</v>
      </c>
      <c r="E84">
        <v>156.720001</v>
      </c>
      <c r="F84">
        <v>156.720001</v>
      </c>
      <c r="G84">
        <v>13477800</v>
      </c>
      <c r="I84" s="1">
        <v>43949</v>
      </c>
      <c r="J84">
        <v>44.369999</v>
      </c>
      <c r="K84">
        <v>45.389999000000003</v>
      </c>
      <c r="L84">
        <v>44.110000999999997</v>
      </c>
      <c r="M84">
        <v>44.970001000000003</v>
      </c>
      <c r="N84">
        <v>40.940238999999998</v>
      </c>
      <c r="O84">
        <v>26545100</v>
      </c>
    </row>
    <row r="85" spans="1:15" x14ac:dyDescent="0.3">
      <c r="A85" s="1">
        <v>43950</v>
      </c>
      <c r="B85">
        <v>147.979996</v>
      </c>
      <c r="C85">
        <v>151</v>
      </c>
      <c r="D85">
        <v>143.38000500000001</v>
      </c>
      <c r="E85">
        <v>146.479996</v>
      </c>
      <c r="F85">
        <v>146.479996</v>
      </c>
      <c r="G85">
        <v>22033300</v>
      </c>
      <c r="I85" s="1">
        <v>43950</v>
      </c>
      <c r="J85">
        <v>46.259998000000003</v>
      </c>
      <c r="K85">
        <v>47.599997999999999</v>
      </c>
      <c r="L85">
        <v>46.16</v>
      </c>
      <c r="M85">
        <v>47.459999000000003</v>
      </c>
      <c r="N85">
        <v>43.207107999999998</v>
      </c>
      <c r="O85">
        <v>29502500</v>
      </c>
    </row>
    <row r="86" spans="1:15" x14ac:dyDescent="0.3">
      <c r="A86" s="1">
        <v>43951</v>
      </c>
      <c r="B86">
        <v>139.990005</v>
      </c>
      <c r="C86">
        <v>143.800003</v>
      </c>
      <c r="D86">
        <v>133.679993</v>
      </c>
      <c r="E86">
        <v>135.16999799999999</v>
      </c>
      <c r="F86">
        <v>135.16999799999999</v>
      </c>
      <c r="G86">
        <v>16682300</v>
      </c>
      <c r="I86" s="1">
        <v>43951</v>
      </c>
      <c r="J86">
        <v>47.68</v>
      </c>
      <c r="K86">
        <v>47.68</v>
      </c>
      <c r="L86">
        <v>45.77</v>
      </c>
      <c r="M86">
        <v>46.470001000000003</v>
      </c>
      <c r="N86">
        <v>42.305824000000001</v>
      </c>
      <c r="O86">
        <v>37076300</v>
      </c>
    </row>
    <row r="87" spans="1:15" x14ac:dyDescent="0.3">
      <c r="A87" s="1">
        <v>43952</v>
      </c>
      <c r="B87">
        <v>136</v>
      </c>
      <c r="C87">
        <v>141.63000500000001</v>
      </c>
      <c r="D87">
        <v>132.66999799999999</v>
      </c>
      <c r="E87">
        <v>138.55999800000001</v>
      </c>
      <c r="F87">
        <v>138.55999800000001</v>
      </c>
      <c r="G87">
        <v>13807000</v>
      </c>
      <c r="I87" s="1">
        <v>43952</v>
      </c>
      <c r="J87">
        <v>45.630001</v>
      </c>
      <c r="K87">
        <v>46.389999000000003</v>
      </c>
      <c r="L87">
        <v>43</v>
      </c>
      <c r="M87">
        <v>43.139999000000003</v>
      </c>
      <c r="N87">
        <v>39.274227000000003</v>
      </c>
      <c r="O87">
        <v>35399300</v>
      </c>
    </row>
    <row r="88" spans="1:15" x14ac:dyDescent="0.3">
      <c r="A88" s="1">
        <v>43955</v>
      </c>
      <c r="B88">
        <v>140.770004</v>
      </c>
      <c r="C88">
        <v>144.979996</v>
      </c>
      <c r="D88">
        <v>140.449997</v>
      </c>
      <c r="E88">
        <v>143.44000199999999</v>
      </c>
      <c r="F88">
        <v>143.44000199999999</v>
      </c>
      <c r="G88">
        <v>9184700</v>
      </c>
      <c r="I88" s="1">
        <v>43955</v>
      </c>
      <c r="J88">
        <v>42.509998000000003</v>
      </c>
      <c r="K88">
        <v>44.939999</v>
      </c>
      <c r="L88">
        <v>42.220001000000003</v>
      </c>
      <c r="M88">
        <v>44.880001</v>
      </c>
      <c r="N88">
        <v>40.858302999999999</v>
      </c>
      <c r="O88">
        <v>27465600</v>
      </c>
    </row>
    <row r="89" spans="1:15" x14ac:dyDescent="0.3">
      <c r="A89" s="1">
        <v>43956</v>
      </c>
      <c r="B89">
        <v>144.429993</v>
      </c>
      <c r="C89">
        <v>148.44000199999999</v>
      </c>
      <c r="D89">
        <v>140.86000100000001</v>
      </c>
      <c r="E89">
        <v>144.820007</v>
      </c>
      <c r="F89">
        <v>144.820007</v>
      </c>
      <c r="G89">
        <v>7376300</v>
      </c>
      <c r="I89" s="1">
        <v>43956</v>
      </c>
      <c r="J89">
        <v>46.259998000000003</v>
      </c>
      <c r="K89">
        <v>47.150002000000001</v>
      </c>
      <c r="L89">
        <v>44.66</v>
      </c>
      <c r="M89">
        <v>44.830002</v>
      </c>
      <c r="N89">
        <v>40.812786000000003</v>
      </c>
      <c r="O89">
        <v>29276200</v>
      </c>
    </row>
    <row r="90" spans="1:15" x14ac:dyDescent="0.3">
      <c r="A90" s="1">
        <v>43957</v>
      </c>
      <c r="B90">
        <v>145.470001</v>
      </c>
      <c r="C90">
        <v>150.740005</v>
      </c>
      <c r="D90">
        <v>144.08999600000001</v>
      </c>
      <c r="E90">
        <v>149.58999600000001</v>
      </c>
      <c r="F90">
        <v>149.58999600000001</v>
      </c>
      <c r="G90">
        <v>6031100</v>
      </c>
      <c r="I90" s="1">
        <v>43957</v>
      </c>
      <c r="J90">
        <v>44.93</v>
      </c>
      <c r="K90">
        <v>45.27</v>
      </c>
      <c r="L90">
        <v>43.900002000000001</v>
      </c>
      <c r="M90">
        <v>43.990001999999997</v>
      </c>
      <c r="N90">
        <v>40.048060999999997</v>
      </c>
      <c r="O90">
        <v>22659000</v>
      </c>
    </row>
    <row r="91" spans="1:15" x14ac:dyDescent="0.3">
      <c r="A91" s="1">
        <v>43958</v>
      </c>
      <c r="B91">
        <v>154.83999600000001</v>
      </c>
      <c r="C91">
        <v>162</v>
      </c>
      <c r="D91">
        <v>154.03999300000001</v>
      </c>
      <c r="E91">
        <v>157.800003</v>
      </c>
      <c r="F91">
        <v>157.800003</v>
      </c>
      <c r="G91">
        <v>8388900</v>
      </c>
      <c r="I91" s="1">
        <v>43958</v>
      </c>
      <c r="J91">
        <v>44.959999000000003</v>
      </c>
      <c r="K91">
        <v>45.27</v>
      </c>
      <c r="L91">
        <v>43.970001000000003</v>
      </c>
      <c r="M91">
        <v>44.240001999999997</v>
      </c>
      <c r="N91">
        <v>40.275654000000003</v>
      </c>
      <c r="O91">
        <v>22160300</v>
      </c>
    </row>
    <row r="92" spans="1:15" x14ac:dyDescent="0.3">
      <c r="A92" s="1">
        <v>43959</v>
      </c>
      <c r="B92">
        <v>160</v>
      </c>
      <c r="C92">
        <v>161.16000399999999</v>
      </c>
      <c r="D92">
        <v>152.70500200000001</v>
      </c>
      <c r="E92">
        <v>155.39999399999999</v>
      </c>
      <c r="F92">
        <v>155.39999399999999</v>
      </c>
      <c r="G92">
        <v>7071800</v>
      </c>
      <c r="I92" s="1">
        <v>43959</v>
      </c>
      <c r="J92">
        <v>45.310001</v>
      </c>
      <c r="K92">
        <v>46.220001000000003</v>
      </c>
      <c r="L92">
        <v>44.98</v>
      </c>
      <c r="M92">
        <v>46.18</v>
      </c>
      <c r="N92">
        <v>42.041812999999998</v>
      </c>
      <c r="O92">
        <v>19977400</v>
      </c>
    </row>
    <row r="93" spans="1:15" x14ac:dyDescent="0.3">
      <c r="A93" s="1">
        <v>43962</v>
      </c>
      <c r="B93">
        <v>159.429993</v>
      </c>
      <c r="C93">
        <v>168</v>
      </c>
      <c r="D93">
        <v>158</v>
      </c>
      <c r="E93">
        <v>166.479996</v>
      </c>
      <c r="F93">
        <v>166.479996</v>
      </c>
      <c r="G93">
        <v>10142700</v>
      </c>
      <c r="I93" s="1">
        <v>43962</v>
      </c>
      <c r="J93">
        <v>46.110000999999997</v>
      </c>
      <c r="K93">
        <v>46.200001</v>
      </c>
      <c r="L93">
        <v>45.509998000000003</v>
      </c>
      <c r="M93">
        <v>45.740001999999997</v>
      </c>
      <c r="N93">
        <v>41.641238999999999</v>
      </c>
      <c r="O93">
        <v>22258000</v>
      </c>
    </row>
    <row r="94" spans="1:15" x14ac:dyDescent="0.3">
      <c r="A94" s="1">
        <v>43963</v>
      </c>
      <c r="B94">
        <v>168</v>
      </c>
      <c r="C94">
        <v>168.229996</v>
      </c>
      <c r="D94">
        <v>160.050003</v>
      </c>
      <c r="E94">
        <v>161.03999300000001</v>
      </c>
      <c r="F94">
        <v>161.03999300000001</v>
      </c>
      <c r="G94">
        <v>7102600</v>
      </c>
      <c r="I94" s="1">
        <v>43963</v>
      </c>
      <c r="J94">
        <v>45.419998</v>
      </c>
      <c r="K94">
        <v>45.669998</v>
      </c>
      <c r="L94">
        <v>44.119999</v>
      </c>
      <c r="M94">
        <v>44.119999</v>
      </c>
      <c r="N94">
        <v>40.945210000000003</v>
      </c>
      <c r="O94">
        <v>25439100</v>
      </c>
    </row>
    <row r="95" spans="1:15" x14ac:dyDescent="0.3">
      <c r="A95" s="1">
        <v>43964</v>
      </c>
      <c r="B95">
        <v>163.61000100000001</v>
      </c>
      <c r="C95">
        <v>171.5</v>
      </c>
      <c r="D95">
        <v>159.16999799999999</v>
      </c>
      <c r="E95">
        <v>167.13999899999999</v>
      </c>
      <c r="F95">
        <v>167.13999899999999</v>
      </c>
      <c r="G95">
        <v>11081300</v>
      </c>
      <c r="I95" s="1">
        <v>43964</v>
      </c>
      <c r="J95">
        <v>43.740001999999997</v>
      </c>
      <c r="K95">
        <v>43.869999</v>
      </c>
      <c r="L95">
        <v>41.599997999999999</v>
      </c>
      <c r="M95">
        <v>41.93</v>
      </c>
      <c r="N95">
        <v>38.912796</v>
      </c>
      <c r="O95">
        <v>30827900</v>
      </c>
    </row>
    <row r="96" spans="1:15" x14ac:dyDescent="0.3">
      <c r="A96" s="1">
        <v>43965</v>
      </c>
      <c r="B96">
        <v>168.259995</v>
      </c>
      <c r="C96">
        <v>170.800003</v>
      </c>
      <c r="D96">
        <v>162.88999899999999</v>
      </c>
      <c r="E96">
        <v>167.91000399999999</v>
      </c>
      <c r="F96">
        <v>167.91000399999999</v>
      </c>
      <c r="G96">
        <v>6730500</v>
      </c>
      <c r="I96" s="1">
        <v>43965</v>
      </c>
      <c r="J96">
        <v>41.07</v>
      </c>
      <c r="K96">
        <v>42.549999</v>
      </c>
      <c r="L96">
        <v>40.200001</v>
      </c>
      <c r="M96">
        <v>42.299999</v>
      </c>
      <c r="N96">
        <v>39.256171999999999</v>
      </c>
      <c r="O96">
        <v>24856500</v>
      </c>
    </row>
    <row r="97" spans="1:15" x14ac:dyDescent="0.3">
      <c r="A97" s="1">
        <v>43966</v>
      </c>
      <c r="B97">
        <v>166.75</v>
      </c>
      <c r="C97">
        <v>175.44000199999999</v>
      </c>
      <c r="D97">
        <v>166.55999800000001</v>
      </c>
      <c r="E97">
        <v>174.83000200000001</v>
      </c>
      <c r="F97">
        <v>174.83000200000001</v>
      </c>
      <c r="G97">
        <v>8540500</v>
      </c>
      <c r="I97" s="1">
        <v>43966</v>
      </c>
      <c r="J97">
        <v>42.380001</v>
      </c>
      <c r="K97">
        <v>43.009998000000003</v>
      </c>
      <c r="L97">
        <v>41.849997999999999</v>
      </c>
      <c r="M97">
        <v>42</v>
      </c>
      <c r="N97">
        <v>38.977760000000004</v>
      </c>
      <c r="O97">
        <v>22445600</v>
      </c>
    </row>
    <row r="98" spans="1:15" x14ac:dyDescent="0.3">
      <c r="A98" s="1">
        <v>43969</v>
      </c>
      <c r="B98">
        <v>170.029999</v>
      </c>
      <c r="C98">
        <v>173.44000199999999</v>
      </c>
      <c r="D98">
        <v>162.641998</v>
      </c>
      <c r="E98">
        <v>164.69000199999999</v>
      </c>
      <c r="F98">
        <v>164.69000199999999</v>
      </c>
      <c r="G98">
        <v>9608300</v>
      </c>
      <c r="I98" s="1">
        <v>43969</v>
      </c>
      <c r="J98">
        <v>44.400002000000001</v>
      </c>
      <c r="K98">
        <v>45.580002</v>
      </c>
      <c r="L98">
        <v>44.060001</v>
      </c>
      <c r="M98">
        <v>45.34</v>
      </c>
      <c r="N98">
        <v>42.077418999999999</v>
      </c>
      <c r="O98">
        <v>32026100</v>
      </c>
    </row>
    <row r="99" spans="1:15" x14ac:dyDescent="0.3">
      <c r="A99" s="1">
        <v>43970</v>
      </c>
      <c r="B99">
        <v>167</v>
      </c>
      <c r="C99">
        <v>173.86000100000001</v>
      </c>
      <c r="D99">
        <v>166.21000699999999</v>
      </c>
      <c r="E99">
        <v>173.679993</v>
      </c>
      <c r="F99">
        <v>173.679993</v>
      </c>
      <c r="G99">
        <v>8485500</v>
      </c>
      <c r="I99" s="1">
        <v>43970</v>
      </c>
      <c r="J99">
        <v>45.549999</v>
      </c>
      <c r="K99">
        <v>46.630001</v>
      </c>
      <c r="L99">
        <v>43.93</v>
      </c>
      <c r="M99">
        <v>43.939999</v>
      </c>
      <c r="N99">
        <v>40.77816</v>
      </c>
      <c r="O99">
        <v>21771600</v>
      </c>
    </row>
    <row r="100" spans="1:15" x14ac:dyDescent="0.3">
      <c r="A100" s="1">
        <v>43971</v>
      </c>
      <c r="B100">
        <v>173.529999</v>
      </c>
      <c r="C100">
        <v>175.63999899999999</v>
      </c>
      <c r="D100">
        <v>170.529999</v>
      </c>
      <c r="E100">
        <v>175.479996</v>
      </c>
      <c r="F100">
        <v>175.479996</v>
      </c>
      <c r="G100">
        <v>6910000</v>
      </c>
      <c r="I100" s="1">
        <v>43971</v>
      </c>
      <c r="J100">
        <v>44.619999</v>
      </c>
      <c r="K100">
        <v>45.580002</v>
      </c>
      <c r="L100">
        <v>44.57</v>
      </c>
      <c r="M100">
        <v>45.369999</v>
      </c>
      <c r="N100">
        <v>42.105263000000001</v>
      </c>
      <c r="O100">
        <v>19352400</v>
      </c>
    </row>
    <row r="101" spans="1:15" x14ac:dyDescent="0.3">
      <c r="A101" s="1">
        <v>43972</v>
      </c>
      <c r="B101">
        <v>175.96000699999999</v>
      </c>
      <c r="C101">
        <v>177.800003</v>
      </c>
      <c r="D101">
        <v>168.36000100000001</v>
      </c>
      <c r="E101">
        <v>172.029999</v>
      </c>
      <c r="F101">
        <v>172.029999</v>
      </c>
      <c r="G101">
        <v>5525300</v>
      </c>
      <c r="I101" s="1">
        <v>43972</v>
      </c>
      <c r="J101">
        <v>45.439999</v>
      </c>
      <c r="K101">
        <v>45.790000999999997</v>
      </c>
      <c r="L101">
        <v>44.389999000000003</v>
      </c>
      <c r="M101">
        <v>44.560001</v>
      </c>
      <c r="N101">
        <v>41.353546000000001</v>
      </c>
      <c r="O101">
        <v>19130700</v>
      </c>
    </row>
    <row r="102" spans="1:15" x14ac:dyDescent="0.3">
      <c r="A102" s="1">
        <v>43973</v>
      </c>
      <c r="B102">
        <v>171.86000100000001</v>
      </c>
      <c r="C102">
        <v>175.88999899999999</v>
      </c>
      <c r="D102">
        <v>170.199997</v>
      </c>
      <c r="E102">
        <v>171.05999800000001</v>
      </c>
      <c r="F102">
        <v>171.05999800000001</v>
      </c>
      <c r="G102">
        <v>4302200</v>
      </c>
      <c r="I102" s="1">
        <v>43973</v>
      </c>
      <c r="J102">
        <v>44.049999</v>
      </c>
      <c r="K102">
        <v>44.669998</v>
      </c>
      <c r="L102">
        <v>43.450001</v>
      </c>
      <c r="M102">
        <v>44.599997999999999</v>
      </c>
      <c r="N102">
        <v>41.390667000000001</v>
      </c>
      <c r="O102">
        <v>15406400</v>
      </c>
    </row>
    <row r="103" spans="1:15" x14ac:dyDescent="0.3">
      <c r="A103" s="1">
        <v>43977</v>
      </c>
      <c r="B103">
        <v>169.10000600000001</v>
      </c>
      <c r="C103">
        <v>169.69000199999999</v>
      </c>
      <c r="D103">
        <v>163.11999499999999</v>
      </c>
      <c r="E103">
        <v>164</v>
      </c>
      <c r="F103">
        <v>164</v>
      </c>
      <c r="G103">
        <v>6689700</v>
      </c>
      <c r="I103" s="1">
        <v>43977</v>
      </c>
      <c r="J103">
        <v>45.740001999999997</v>
      </c>
      <c r="K103">
        <v>46.299999</v>
      </c>
      <c r="L103">
        <v>45.470001000000003</v>
      </c>
      <c r="M103">
        <v>45.91</v>
      </c>
      <c r="N103">
        <v>42.606403</v>
      </c>
      <c r="O103">
        <v>20356500</v>
      </c>
    </row>
    <row r="104" spans="1:15" x14ac:dyDescent="0.3">
      <c r="A104" s="1">
        <v>43978</v>
      </c>
      <c r="B104">
        <v>158.009995</v>
      </c>
      <c r="C104">
        <v>162.220001</v>
      </c>
      <c r="D104">
        <v>149.16000399999999</v>
      </c>
      <c r="E104">
        <v>161.970001</v>
      </c>
      <c r="F104">
        <v>161.970001</v>
      </c>
      <c r="G104">
        <v>10076700</v>
      </c>
      <c r="I104" s="1">
        <v>43978</v>
      </c>
      <c r="J104">
        <v>46.66</v>
      </c>
      <c r="K104">
        <v>47.139999000000003</v>
      </c>
      <c r="L104">
        <v>45.41</v>
      </c>
      <c r="M104">
        <v>46.240001999999997</v>
      </c>
      <c r="N104">
        <v>42.912658999999998</v>
      </c>
      <c r="O104">
        <v>20788300</v>
      </c>
    </row>
    <row r="105" spans="1:15" x14ac:dyDescent="0.3">
      <c r="A105" s="1">
        <v>43979</v>
      </c>
      <c r="B105">
        <v>159.229996</v>
      </c>
      <c r="C105">
        <v>169.39999399999999</v>
      </c>
      <c r="D105">
        <v>159.199997</v>
      </c>
      <c r="E105">
        <v>163.550003</v>
      </c>
      <c r="F105">
        <v>163.550003</v>
      </c>
      <c r="G105">
        <v>6386800</v>
      </c>
      <c r="I105" s="1">
        <v>43979</v>
      </c>
      <c r="J105">
        <v>46.43</v>
      </c>
      <c r="K105">
        <v>46.459999000000003</v>
      </c>
      <c r="L105">
        <v>44.93</v>
      </c>
      <c r="M105">
        <v>45.040000999999997</v>
      </c>
      <c r="N105">
        <v>41.799011</v>
      </c>
      <c r="O105">
        <v>19698000</v>
      </c>
    </row>
    <row r="106" spans="1:15" x14ac:dyDescent="0.3">
      <c r="A106" s="1">
        <v>43980</v>
      </c>
      <c r="B106">
        <v>168</v>
      </c>
      <c r="C106">
        <v>179.990005</v>
      </c>
      <c r="D106">
        <v>167.86000100000001</v>
      </c>
      <c r="E106">
        <v>179.479996</v>
      </c>
      <c r="F106">
        <v>179.479996</v>
      </c>
      <c r="G106">
        <v>15219600</v>
      </c>
      <c r="I106" s="1">
        <v>43980</v>
      </c>
      <c r="J106">
        <v>44.82</v>
      </c>
      <c r="K106">
        <v>45.689999</v>
      </c>
      <c r="L106">
        <v>44.369999</v>
      </c>
      <c r="M106">
        <v>45.470001000000003</v>
      </c>
      <c r="N106">
        <v>42.198062999999998</v>
      </c>
      <c r="O106">
        <v>25874700</v>
      </c>
    </row>
    <row r="107" spans="1:15" x14ac:dyDescent="0.3">
      <c r="A107" s="1">
        <v>43983</v>
      </c>
      <c r="B107">
        <v>183.179993</v>
      </c>
      <c r="C107">
        <v>205.86999499999999</v>
      </c>
      <c r="D107">
        <v>183</v>
      </c>
      <c r="E107">
        <v>204.14999399999999</v>
      </c>
      <c r="F107">
        <v>204.14999399999999</v>
      </c>
      <c r="G107">
        <v>24394400</v>
      </c>
      <c r="I107" s="1">
        <v>43983</v>
      </c>
      <c r="J107">
        <v>45.32</v>
      </c>
      <c r="K107">
        <v>46.450001</v>
      </c>
      <c r="L107">
        <v>44.799999</v>
      </c>
      <c r="M107">
        <v>46.279998999999997</v>
      </c>
      <c r="N107">
        <v>42.949776</v>
      </c>
      <c r="O107">
        <v>19031000</v>
      </c>
    </row>
    <row r="108" spans="1:15" x14ac:dyDescent="0.3">
      <c r="A108" s="1">
        <v>43984</v>
      </c>
      <c r="B108">
        <v>210.25</v>
      </c>
      <c r="C108">
        <v>212.69000199999999</v>
      </c>
      <c r="D108">
        <v>197.320007</v>
      </c>
      <c r="E108">
        <v>208.08000200000001</v>
      </c>
      <c r="F108">
        <v>208.08000200000001</v>
      </c>
      <c r="G108">
        <v>36853400</v>
      </c>
      <c r="I108" s="1">
        <v>43984</v>
      </c>
      <c r="J108">
        <v>46.860000999999997</v>
      </c>
      <c r="K108">
        <v>47.450001</v>
      </c>
      <c r="L108">
        <v>46.75</v>
      </c>
      <c r="M108">
        <v>47.310001</v>
      </c>
      <c r="N108">
        <v>43.905662999999997</v>
      </c>
      <c r="O108">
        <v>22319000</v>
      </c>
    </row>
    <row r="109" spans="1:15" x14ac:dyDescent="0.3">
      <c r="A109" s="1">
        <v>43985</v>
      </c>
      <c r="B109">
        <v>211.699997</v>
      </c>
      <c r="C109">
        <v>224.46000699999999</v>
      </c>
      <c r="D109">
        <v>202.320007</v>
      </c>
      <c r="E109">
        <v>223.86999499999999</v>
      </c>
      <c r="F109">
        <v>223.86999499999999</v>
      </c>
      <c r="G109">
        <v>32390100</v>
      </c>
      <c r="I109" s="1">
        <v>43985</v>
      </c>
      <c r="J109">
        <v>48</v>
      </c>
      <c r="K109">
        <v>49.400002000000001</v>
      </c>
      <c r="L109">
        <v>47.950001</v>
      </c>
      <c r="M109">
        <v>49.240001999999997</v>
      </c>
      <c r="N109">
        <v>45.696784999999998</v>
      </c>
      <c r="O109">
        <v>23418000</v>
      </c>
    </row>
    <row r="110" spans="1:15" x14ac:dyDescent="0.3">
      <c r="A110" s="1">
        <v>43986</v>
      </c>
      <c r="B110">
        <v>221</v>
      </c>
      <c r="C110">
        <v>223</v>
      </c>
      <c r="D110">
        <v>207.60000600000001</v>
      </c>
      <c r="E110">
        <v>210.35000600000001</v>
      </c>
      <c r="F110">
        <v>210.35000600000001</v>
      </c>
      <c r="G110">
        <v>20212600</v>
      </c>
      <c r="I110" s="1">
        <v>43986</v>
      </c>
      <c r="J110">
        <v>48.880001</v>
      </c>
      <c r="K110">
        <v>49.150002000000001</v>
      </c>
      <c r="L110">
        <v>48.16</v>
      </c>
      <c r="M110">
        <v>49.099997999999999</v>
      </c>
      <c r="N110">
        <v>45.566856000000001</v>
      </c>
      <c r="O110">
        <v>18731400</v>
      </c>
    </row>
    <row r="111" spans="1:15" x14ac:dyDescent="0.3">
      <c r="A111" s="1">
        <v>43987</v>
      </c>
      <c r="B111">
        <v>200.11000100000001</v>
      </c>
      <c r="C111">
        <v>208.94000199999999</v>
      </c>
      <c r="D111">
        <v>196.10000600000001</v>
      </c>
      <c r="E111">
        <v>207.60000600000001</v>
      </c>
      <c r="F111">
        <v>207.60000600000001</v>
      </c>
      <c r="G111">
        <v>16298700</v>
      </c>
      <c r="I111" s="1">
        <v>43987</v>
      </c>
      <c r="J111">
        <v>51.650002000000001</v>
      </c>
      <c r="K111">
        <v>53.450001</v>
      </c>
      <c r="L111">
        <v>51.599997999999999</v>
      </c>
      <c r="M111">
        <v>53.080002</v>
      </c>
      <c r="N111">
        <v>49.260468000000003</v>
      </c>
      <c r="O111">
        <v>41328900</v>
      </c>
    </row>
    <row r="112" spans="1:15" x14ac:dyDescent="0.3">
      <c r="A112" s="1">
        <v>43990</v>
      </c>
      <c r="B112">
        <v>204.35000600000001</v>
      </c>
      <c r="C112">
        <v>211.44000199999999</v>
      </c>
      <c r="D112">
        <v>198.66000399999999</v>
      </c>
      <c r="E112">
        <v>209.83000200000001</v>
      </c>
      <c r="F112">
        <v>209.83000200000001</v>
      </c>
      <c r="G112">
        <v>10457500</v>
      </c>
      <c r="I112" s="1">
        <v>43990</v>
      </c>
      <c r="J112">
        <v>54.720001000000003</v>
      </c>
      <c r="K112">
        <v>55.360000999999997</v>
      </c>
      <c r="L112">
        <v>53.459999000000003</v>
      </c>
      <c r="M112">
        <v>54.740001999999997</v>
      </c>
      <c r="N112">
        <v>50.801017999999999</v>
      </c>
      <c r="O112">
        <v>33579400</v>
      </c>
    </row>
    <row r="113" spans="1:15" x14ac:dyDescent="0.3">
      <c r="A113" s="1">
        <v>43991</v>
      </c>
      <c r="B113">
        <v>209.83000200000001</v>
      </c>
      <c r="C113">
        <v>210.58999600000001</v>
      </c>
      <c r="D113">
        <v>202.929993</v>
      </c>
      <c r="E113">
        <v>205.429993</v>
      </c>
      <c r="F113">
        <v>205.429993</v>
      </c>
      <c r="G113">
        <v>7521800</v>
      </c>
      <c r="I113" s="1">
        <v>43991</v>
      </c>
      <c r="J113">
        <v>52.880001</v>
      </c>
      <c r="K113">
        <v>53.970001000000003</v>
      </c>
      <c r="L113">
        <v>52.450001</v>
      </c>
      <c r="M113">
        <v>53.52</v>
      </c>
      <c r="N113">
        <v>49.668804000000002</v>
      </c>
      <c r="O113">
        <v>27276900</v>
      </c>
    </row>
    <row r="114" spans="1:15" x14ac:dyDescent="0.3">
      <c r="A114" s="1">
        <v>43992</v>
      </c>
      <c r="B114">
        <v>208.88999899999999</v>
      </c>
      <c r="C114">
        <v>221.529999</v>
      </c>
      <c r="D114">
        <v>208.259995</v>
      </c>
      <c r="E114">
        <v>221.020004</v>
      </c>
      <c r="F114">
        <v>221.020004</v>
      </c>
      <c r="G114">
        <v>12241100</v>
      </c>
      <c r="I114" s="1">
        <v>43992</v>
      </c>
      <c r="J114">
        <v>53.5</v>
      </c>
      <c r="K114">
        <v>53.5</v>
      </c>
      <c r="L114">
        <v>50.599997999999999</v>
      </c>
      <c r="M114">
        <v>50.650002000000001</v>
      </c>
      <c r="N114">
        <v>47.005324999999999</v>
      </c>
      <c r="O114">
        <v>31156800</v>
      </c>
    </row>
    <row r="115" spans="1:15" x14ac:dyDescent="0.3">
      <c r="A115" s="1">
        <v>43993</v>
      </c>
      <c r="B115">
        <v>219.179993</v>
      </c>
      <c r="C115">
        <v>232</v>
      </c>
      <c r="D115">
        <v>218.5</v>
      </c>
      <c r="E115">
        <v>222.070007</v>
      </c>
      <c r="F115">
        <v>222.070007</v>
      </c>
      <c r="G115">
        <v>17615800</v>
      </c>
      <c r="I115" s="1">
        <v>43993</v>
      </c>
      <c r="J115">
        <v>47.529998999999997</v>
      </c>
      <c r="K115">
        <v>48.84</v>
      </c>
      <c r="L115">
        <v>46.099997999999999</v>
      </c>
      <c r="M115">
        <v>46.18</v>
      </c>
      <c r="N115">
        <v>42.856979000000003</v>
      </c>
      <c r="O115">
        <v>39183000</v>
      </c>
    </row>
    <row r="116" spans="1:15" x14ac:dyDescent="0.3">
      <c r="A116" s="1">
        <v>43994</v>
      </c>
      <c r="B116">
        <v>224.78999300000001</v>
      </c>
      <c r="C116">
        <v>231.449997</v>
      </c>
      <c r="D116">
        <v>216.75</v>
      </c>
      <c r="E116">
        <v>219.520004</v>
      </c>
      <c r="F116">
        <v>219.520004</v>
      </c>
      <c r="G116">
        <v>8780400</v>
      </c>
      <c r="I116" s="1">
        <v>43994</v>
      </c>
      <c r="J116">
        <v>48.040000999999997</v>
      </c>
      <c r="K116">
        <v>48.619999</v>
      </c>
      <c r="L116">
        <v>45.91</v>
      </c>
      <c r="M116">
        <v>47.169998</v>
      </c>
      <c r="N116">
        <v>43.775737999999997</v>
      </c>
      <c r="O116">
        <v>30978100</v>
      </c>
    </row>
    <row r="117" spans="1:15" x14ac:dyDescent="0.3">
      <c r="A117" s="1">
        <v>43997</v>
      </c>
      <c r="B117">
        <v>227.83999600000001</v>
      </c>
      <c r="C117">
        <v>239.58999600000001</v>
      </c>
      <c r="D117">
        <v>226.38000500000001</v>
      </c>
      <c r="E117">
        <v>239.020004</v>
      </c>
      <c r="F117">
        <v>239.020004</v>
      </c>
      <c r="G117">
        <v>13959100</v>
      </c>
      <c r="I117" s="1">
        <v>43997</v>
      </c>
      <c r="J117">
        <v>45.349997999999999</v>
      </c>
      <c r="K117">
        <v>47.759998000000003</v>
      </c>
      <c r="L117">
        <v>44.75</v>
      </c>
      <c r="M117">
        <v>47.139999000000003</v>
      </c>
      <c r="N117">
        <v>43.747894000000002</v>
      </c>
      <c r="O117">
        <v>27929300</v>
      </c>
    </row>
    <row r="118" spans="1:15" x14ac:dyDescent="0.3">
      <c r="A118" s="1">
        <v>43998</v>
      </c>
      <c r="B118">
        <v>235.990005</v>
      </c>
      <c r="C118">
        <v>243.5</v>
      </c>
      <c r="D118">
        <v>231.820999</v>
      </c>
      <c r="E118">
        <v>242.55999800000001</v>
      </c>
      <c r="F118">
        <v>242.55999800000001</v>
      </c>
      <c r="G118">
        <v>11333300</v>
      </c>
      <c r="I118" s="1">
        <v>43998</v>
      </c>
      <c r="J118">
        <v>49.57</v>
      </c>
      <c r="K118">
        <v>49.75</v>
      </c>
      <c r="L118">
        <v>47.240001999999997</v>
      </c>
      <c r="M118">
        <v>48.200001</v>
      </c>
      <c r="N118">
        <v>44.731620999999997</v>
      </c>
      <c r="O118">
        <v>26203400</v>
      </c>
    </row>
    <row r="119" spans="1:15" x14ac:dyDescent="0.3">
      <c r="A119" s="1">
        <v>43999</v>
      </c>
      <c r="B119">
        <v>243.179993</v>
      </c>
      <c r="C119">
        <v>243.88000500000001</v>
      </c>
      <c r="D119">
        <v>235.11999499999999</v>
      </c>
      <c r="E119">
        <v>236.759995</v>
      </c>
      <c r="F119">
        <v>236.759995</v>
      </c>
      <c r="G119">
        <v>11704300</v>
      </c>
      <c r="I119" s="1">
        <v>43999</v>
      </c>
      <c r="J119">
        <v>48</v>
      </c>
      <c r="K119">
        <v>48.130001</v>
      </c>
      <c r="L119">
        <v>46.599997999999999</v>
      </c>
      <c r="M119">
        <v>46.630001</v>
      </c>
      <c r="N119">
        <v>43.274593000000003</v>
      </c>
      <c r="O119">
        <v>19279400</v>
      </c>
    </row>
    <row r="120" spans="1:15" x14ac:dyDescent="0.3">
      <c r="A120" s="1">
        <v>44000</v>
      </c>
      <c r="B120">
        <v>240.38999899999999</v>
      </c>
      <c r="C120">
        <v>242.61000100000001</v>
      </c>
      <c r="D120">
        <v>238.220001</v>
      </c>
      <c r="E120">
        <v>241.570007</v>
      </c>
      <c r="F120">
        <v>241.570007</v>
      </c>
      <c r="G120">
        <v>9340900</v>
      </c>
      <c r="I120" s="1">
        <v>44000</v>
      </c>
      <c r="J120">
        <v>46.110000999999997</v>
      </c>
      <c r="K120">
        <v>47.330002</v>
      </c>
      <c r="L120">
        <v>45.77</v>
      </c>
      <c r="M120">
        <v>46.919998</v>
      </c>
      <c r="N120">
        <v>43.543723999999997</v>
      </c>
      <c r="O120">
        <v>21478700</v>
      </c>
    </row>
    <row r="121" spans="1:15" x14ac:dyDescent="0.3">
      <c r="A121" s="1">
        <v>44001</v>
      </c>
      <c r="B121">
        <v>241.63999899999999</v>
      </c>
      <c r="C121">
        <v>243.570007</v>
      </c>
      <c r="D121">
        <v>238.70399499999999</v>
      </c>
      <c r="E121">
        <v>243.479996</v>
      </c>
      <c r="F121">
        <v>243.479996</v>
      </c>
      <c r="G121">
        <v>10077500</v>
      </c>
      <c r="I121" s="1">
        <v>44001</v>
      </c>
      <c r="J121">
        <v>48.220001000000003</v>
      </c>
      <c r="K121">
        <v>48.259998000000003</v>
      </c>
      <c r="L121">
        <v>45.98</v>
      </c>
      <c r="M121">
        <v>45.98</v>
      </c>
      <c r="N121">
        <v>42.671368000000001</v>
      </c>
      <c r="O121">
        <v>48899900</v>
      </c>
    </row>
    <row r="122" spans="1:15" x14ac:dyDescent="0.3">
      <c r="A122" s="1">
        <v>44004</v>
      </c>
      <c r="B122">
        <v>247.46499600000001</v>
      </c>
      <c r="C122">
        <v>254.89999399999999</v>
      </c>
      <c r="D122">
        <v>247.28999300000001</v>
      </c>
      <c r="E122">
        <v>251.270004</v>
      </c>
      <c r="F122">
        <v>251.270004</v>
      </c>
      <c r="G122">
        <v>11093700</v>
      </c>
      <c r="I122" s="1">
        <v>44004</v>
      </c>
      <c r="J122">
        <v>45.689999</v>
      </c>
      <c r="K122">
        <v>46.439999</v>
      </c>
      <c r="L122">
        <v>45.400002000000001</v>
      </c>
      <c r="M122">
        <v>46.419998</v>
      </c>
      <c r="N122">
        <v>43.079704</v>
      </c>
      <c r="O122">
        <v>17565400</v>
      </c>
    </row>
    <row r="123" spans="1:15" x14ac:dyDescent="0.3">
      <c r="A123" s="1">
        <v>44005</v>
      </c>
      <c r="B123">
        <v>251.259995</v>
      </c>
      <c r="C123">
        <v>254.77499399999999</v>
      </c>
      <c r="D123">
        <v>247.570007</v>
      </c>
      <c r="E123">
        <v>252.80999800000001</v>
      </c>
      <c r="F123">
        <v>252.80999800000001</v>
      </c>
      <c r="G123">
        <v>8791500</v>
      </c>
      <c r="I123" s="1">
        <v>44005</v>
      </c>
      <c r="J123">
        <v>46.900002000000001</v>
      </c>
      <c r="K123">
        <v>47.220001000000003</v>
      </c>
      <c r="L123">
        <v>46.5</v>
      </c>
      <c r="M123">
        <v>46.700001</v>
      </c>
      <c r="N123">
        <v>43.339557999999997</v>
      </c>
      <c r="O123">
        <v>18916600</v>
      </c>
    </row>
    <row r="124" spans="1:15" x14ac:dyDescent="0.3">
      <c r="A124" s="1">
        <v>44006</v>
      </c>
      <c r="B124">
        <v>254.5</v>
      </c>
      <c r="C124">
        <v>258.75</v>
      </c>
      <c r="D124">
        <v>248.60000600000001</v>
      </c>
      <c r="E124">
        <v>255.89999399999999</v>
      </c>
      <c r="F124">
        <v>255.89999399999999</v>
      </c>
      <c r="G124">
        <v>9862800</v>
      </c>
      <c r="I124" s="1">
        <v>44006</v>
      </c>
      <c r="J124">
        <v>45.91</v>
      </c>
      <c r="K124">
        <v>45.959999000000003</v>
      </c>
      <c r="L124">
        <v>44.25</v>
      </c>
      <c r="M124">
        <v>44.5</v>
      </c>
      <c r="N124">
        <v>41.297863</v>
      </c>
      <c r="O124">
        <v>27626900</v>
      </c>
    </row>
    <row r="125" spans="1:15" x14ac:dyDescent="0.3">
      <c r="A125" s="1">
        <v>44007</v>
      </c>
      <c r="B125">
        <v>258.23001099999999</v>
      </c>
      <c r="C125">
        <v>260.290009</v>
      </c>
      <c r="D125">
        <v>252.66000399999999</v>
      </c>
      <c r="E125">
        <v>259.51001000000002</v>
      </c>
      <c r="F125">
        <v>259.51001000000002</v>
      </c>
      <c r="G125">
        <v>7490500</v>
      </c>
      <c r="I125" s="1">
        <v>44007</v>
      </c>
      <c r="J125">
        <v>44.049999</v>
      </c>
      <c r="K125">
        <v>45.240001999999997</v>
      </c>
      <c r="L125">
        <v>43.689999</v>
      </c>
      <c r="M125">
        <v>45.169998</v>
      </c>
      <c r="N125">
        <v>41.919651000000002</v>
      </c>
      <c r="O125">
        <v>19353600</v>
      </c>
    </row>
    <row r="126" spans="1:15" x14ac:dyDescent="0.3">
      <c r="A126" s="1">
        <v>44008</v>
      </c>
      <c r="B126">
        <v>260.51998900000001</v>
      </c>
      <c r="C126">
        <v>261.61999500000002</v>
      </c>
      <c r="D126">
        <v>250.36000100000001</v>
      </c>
      <c r="E126">
        <v>256.79998799999998</v>
      </c>
      <c r="F126">
        <v>256.79998799999998</v>
      </c>
      <c r="G126">
        <v>17142900</v>
      </c>
      <c r="I126" s="1">
        <v>44008</v>
      </c>
      <c r="J126">
        <v>44.880001</v>
      </c>
      <c r="K126">
        <v>44.939999</v>
      </c>
      <c r="L126">
        <v>43.5</v>
      </c>
      <c r="M126">
        <v>43.619999</v>
      </c>
      <c r="N126">
        <v>40.481186000000001</v>
      </c>
      <c r="O126">
        <v>31518600</v>
      </c>
    </row>
    <row r="127" spans="1:15" x14ac:dyDescent="0.3">
      <c r="A127" s="1">
        <v>44011</v>
      </c>
      <c r="B127">
        <v>254.970001</v>
      </c>
      <c r="C127">
        <v>255.89999399999999</v>
      </c>
      <c r="D127">
        <v>243.58999600000001</v>
      </c>
      <c r="E127">
        <v>248.55999800000001</v>
      </c>
      <c r="F127">
        <v>248.55999800000001</v>
      </c>
      <c r="G127">
        <v>8436400</v>
      </c>
      <c r="I127" s="1">
        <v>44011</v>
      </c>
      <c r="J127">
        <v>43.810001</v>
      </c>
      <c r="K127">
        <v>44.580002</v>
      </c>
      <c r="L127">
        <v>43.540000999999997</v>
      </c>
      <c r="M127">
        <v>44.32</v>
      </c>
      <c r="N127">
        <v>41.130817</v>
      </c>
      <c r="O127">
        <v>17052100</v>
      </c>
    </row>
    <row r="128" spans="1:15" x14ac:dyDescent="0.3">
      <c r="A128" s="1">
        <v>44012</v>
      </c>
      <c r="B128">
        <v>249.86999499999999</v>
      </c>
      <c r="C128">
        <v>256.82998700000002</v>
      </c>
      <c r="D128">
        <v>248.35000600000001</v>
      </c>
      <c r="E128">
        <v>253.53999300000001</v>
      </c>
      <c r="F128">
        <v>253.53999300000001</v>
      </c>
      <c r="G128">
        <v>6305500</v>
      </c>
      <c r="I128" s="1">
        <v>44012</v>
      </c>
      <c r="J128">
        <v>43.43</v>
      </c>
      <c r="K128">
        <v>44.970001000000003</v>
      </c>
      <c r="L128">
        <v>43.16</v>
      </c>
      <c r="M128">
        <v>44.720001000000003</v>
      </c>
      <c r="N128">
        <v>41.502032999999997</v>
      </c>
      <c r="O128">
        <v>22153600</v>
      </c>
    </row>
    <row r="129" spans="1:15" x14ac:dyDescent="0.3">
      <c r="A129" s="1">
        <v>44013</v>
      </c>
      <c r="B129">
        <v>251.35000600000001</v>
      </c>
      <c r="C129">
        <v>261</v>
      </c>
      <c r="D129">
        <v>247.21000699999999</v>
      </c>
      <c r="E129">
        <v>259.13000499999998</v>
      </c>
      <c r="F129">
        <v>259.13000499999998</v>
      </c>
      <c r="G129">
        <v>6803300</v>
      </c>
      <c r="I129" s="1">
        <v>44013</v>
      </c>
      <c r="J129">
        <v>44.490001999999997</v>
      </c>
      <c r="K129">
        <v>45.380001</v>
      </c>
      <c r="L129">
        <v>43.669998</v>
      </c>
      <c r="M129">
        <v>43.709999000000003</v>
      </c>
      <c r="N129">
        <v>40.564712999999998</v>
      </c>
      <c r="O129">
        <v>17290100</v>
      </c>
    </row>
    <row r="130" spans="1:15" x14ac:dyDescent="0.3">
      <c r="A130" s="1">
        <v>44014</v>
      </c>
      <c r="B130">
        <v>261</v>
      </c>
      <c r="C130">
        <v>263.79998799999998</v>
      </c>
      <c r="D130">
        <v>258</v>
      </c>
      <c r="E130">
        <v>261.73998999999998</v>
      </c>
      <c r="F130">
        <v>261.73998999999998</v>
      </c>
      <c r="G130">
        <v>5629000</v>
      </c>
      <c r="I130" s="1">
        <v>44014</v>
      </c>
      <c r="J130">
        <v>44.619999</v>
      </c>
      <c r="K130">
        <v>45.189999</v>
      </c>
      <c r="L130">
        <v>43.93</v>
      </c>
      <c r="M130">
        <v>44.080002</v>
      </c>
      <c r="N130">
        <v>40.908088999999997</v>
      </c>
      <c r="O130">
        <v>18216600</v>
      </c>
    </row>
    <row r="131" spans="1:15" x14ac:dyDescent="0.3">
      <c r="A131" s="1">
        <v>44018</v>
      </c>
      <c r="B131">
        <v>265</v>
      </c>
      <c r="C131">
        <v>275.07998700000002</v>
      </c>
      <c r="D131">
        <v>259.32000699999998</v>
      </c>
      <c r="E131">
        <v>261</v>
      </c>
      <c r="F131">
        <v>261</v>
      </c>
      <c r="G131">
        <v>12250200</v>
      </c>
      <c r="I131" s="1">
        <v>44018</v>
      </c>
      <c r="J131">
        <v>44.669998</v>
      </c>
      <c r="K131">
        <v>45.080002</v>
      </c>
      <c r="L131">
        <v>43.84</v>
      </c>
      <c r="M131">
        <v>44.389999000000003</v>
      </c>
      <c r="N131">
        <v>41.195782000000001</v>
      </c>
      <c r="O131">
        <v>22692000</v>
      </c>
    </row>
    <row r="132" spans="1:15" x14ac:dyDescent="0.3">
      <c r="A132" s="1">
        <v>44019</v>
      </c>
      <c r="B132">
        <v>261.54998799999998</v>
      </c>
      <c r="C132">
        <v>266.45001200000002</v>
      </c>
      <c r="D132">
        <v>258.10000600000001</v>
      </c>
      <c r="E132">
        <v>262.10000600000001</v>
      </c>
      <c r="F132">
        <v>262.10000600000001</v>
      </c>
      <c r="G132">
        <v>7819700</v>
      </c>
      <c r="I132" s="1">
        <v>44019</v>
      </c>
      <c r="J132">
        <v>43.900002000000001</v>
      </c>
      <c r="K132">
        <v>44</v>
      </c>
      <c r="L132">
        <v>43.110000999999997</v>
      </c>
      <c r="M132">
        <v>43.240001999999997</v>
      </c>
      <c r="N132">
        <v>40.128532</v>
      </c>
      <c r="O132">
        <v>17407600</v>
      </c>
    </row>
    <row r="133" spans="1:15" x14ac:dyDescent="0.3">
      <c r="A133" s="1">
        <v>44020</v>
      </c>
      <c r="B133">
        <v>263.79998799999998</v>
      </c>
      <c r="C133">
        <v>268.52801499999998</v>
      </c>
      <c r="D133">
        <v>261.290009</v>
      </c>
      <c r="E133">
        <v>266.32000699999998</v>
      </c>
      <c r="F133">
        <v>266.32000699999998</v>
      </c>
      <c r="G133">
        <v>6012900</v>
      </c>
      <c r="I133" s="1">
        <v>44020</v>
      </c>
      <c r="J133">
        <v>43.150002000000001</v>
      </c>
      <c r="K133">
        <v>43.93</v>
      </c>
      <c r="L133">
        <v>42.84</v>
      </c>
      <c r="M133">
        <v>43.139999000000003</v>
      </c>
      <c r="N133">
        <v>40.035727999999999</v>
      </c>
      <c r="O133">
        <v>18291400</v>
      </c>
    </row>
    <row r="134" spans="1:15" x14ac:dyDescent="0.3">
      <c r="A134" s="1">
        <v>44021</v>
      </c>
      <c r="B134">
        <v>269.01001000000002</v>
      </c>
      <c r="C134">
        <v>272.70001200000002</v>
      </c>
      <c r="D134">
        <v>264.22000100000002</v>
      </c>
      <c r="E134">
        <v>269.51998900000001</v>
      </c>
      <c r="F134">
        <v>269.51998900000001</v>
      </c>
      <c r="G134">
        <v>5396000</v>
      </c>
      <c r="I134" s="1">
        <v>44021</v>
      </c>
      <c r="J134">
        <v>42.900002000000001</v>
      </c>
      <c r="K134">
        <v>43.099997999999999</v>
      </c>
      <c r="L134">
        <v>41.290000999999997</v>
      </c>
      <c r="M134">
        <v>41.360000999999997</v>
      </c>
      <c r="N134">
        <v>38.383816000000003</v>
      </c>
      <c r="O134">
        <v>25882000</v>
      </c>
    </row>
    <row r="135" spans="1:15" x14ac:dyDescent="0.3">
      <c r="A135" s="1">
        <v>44022</v>
      </c>
      <c r="B135">
        <v>271.76998900000001</v>
      </c>
      <c r="C135">
        <v>278.16000400000001</v>
      </c>
      <c r="D135">
        <v>268.64001500000001</v>
      </c>
      <c r="E135">
        <v>275.86999500000002</v>
      </c>
      <c r="F135">
        <v>275.86999500000002</v>
      </c>
      <c r="G135">
        <v>6354800</v>
      </c>
      <c r="I135" s="1">
        <v>44022</v>
      </c>
      <c r="J135">
        <v>41.119999</v>
      </c>
      <c r="K135">
        <v>42.709999000000003</v>
      </c>
      <c r="L135">
        <v>41.099997999999999</v>
      </c>
      <c r="M135">
        <v>42.650002000000001</v>
      </c>
      <c r="N135">
        <v>39.58099</v>
      </c>
      <c r="O135">
        <v>18951000</v>
      </c>
    </row>
    <row r="136" spans="1:15" x14ac:dyDescent="0.3">
      <c r="A136" s="1">
        <v>44025</v>
      </c>
      <c r="B136">
        <v>278.63000499999998</v>
      </c>
      <c r="C136">
        <v>281</v>
      </c>
      <c r="D136">
        <v>256.33801299999999</v>
      </c>
      <c r="E136">
        <v>260.29998799999998</v>
      </c>
      <c r="F136">
        <v>260.29998799999998</v>
      </c>
      <c r="G136">
        <v>9293000</v>
      </c>
      <c r="I136" s="1">
        <v>44025</v>
      </c>
      <c r="J136">
        <v>42.98</v>
      </c>
      <c r="K136">
        <v>43.290000999999997</v>
      </c>
      <c r="L136">
        <v>42.23</v>
      </c>
      <c r="M136">
        <v>42.66</v>
      </c>
      <c r="N136">
        <v>39.590266999999997</v>
      </c>
      <c r="O136">
        <v>20028300</v>
      </c>
    </row>
    <row r="137" spans="1:15" x14ac:dyDescent="0.3">
      <c r="A137" s="1">
        <v>44026</v>
      </c>
      <c r="B137">
        <v>260.959991</v>
      </c>
      <c r="C137">
        <v>265.32998700000002</v>
      </c>
      <c r="D137">
        <v>240.449997</v>
      </c>
      <c r="E137">
        <v>260.01001000000002</v>
      </c>
      <c r="F137">
        <v>260.01001000000002</v>
      </c>
      <c r="G137">
        <v>8713100</v>
      </c>
      <c r="I137" s="1">
        <v>44026</v>
      </c>
      <c r="J137">
        <v>42.529998999999997</v>
      </c>
      <c r="K137">
        <v>44.189999</v>
      </c>
      <c r="L137">
        <v>42.259998000000003</v>
      </c>
      <c r="M137">
        <v>44.07</v>
      </c>
      <c r="N137">
        <v>40.898808000000002</v>
      </c>
      <c r="O137">
        <v>21444100</v>
      </c>
    </row>
    <row r="138" spans="1:15" x14ac:dyDescent="0.3">
      <c r="A138" s="1">
        <v>44027</v>
      </c>
      <c r="B138">
        <v>253.699997</v>
      </c>
      <c r="C138">
        <v>257.5</v>
      </c>
      <c r="D138">
        <v>248.11999499999999</v>
      </c>
      <c r="E138">
        <v>256.22000100000002</v>
      </c>
      <c r="F138">
        <v>256.22000100000002</v>
      </c>
      <c r="G138">
        <v>6073600</v>
      </c>
      <c r="I138" s="1">
        <v>44027</v>
      </c>
      <c r="J138">
        <v>45.029998999999997</v>
      </c>
      <c r="K138">
        <v>45.09</v>
      </c>
      <c r="L138">
        <v>44.209999000000003</v>
      </c>
      <c r="M138">
        <v>44.630001</v>
      </c>
      <c r="N138">
        <v>41.418506999999998</v>
      </c>
      <c r="O138">
        <v>17332400</v>
      </c>
    </row>
    <row r="139" spans="1:15" x14ac:dyDescent="0.3">
      <c r="A139" s="1">
        <v>44028</v>
      </c>
      <c r="B139">
        <v>250.38999899999999</v>
      </c>
      <c r="C139">
        <v>253</v>
      </c>
      <c r="D139">
        <v>243.429993</v>
      </c>
      <c r="E139">
        <v>248.53999300000001</v>
      </c>
      <c r="F139">
        <v>248.53999300000001</v>
      </c>
      <c r="G139">
        <v>5420100</v>
      </c>
      <c r="I139" s="1">
        <v>44028</v>
      </c>
      <c r="J139">
        <v>44.310001</v>
      </c>
      <c r="K139">
        <v>44.810001</v>
      </c>
      <c r="L139">
        <v>43.790000999999997</v>
      </c>
      <c r="M139">
        <v>44.279998999999997</v>
      </c>
      <c r="N139">
        <v>41.093696999999999</v>
      </c>
      <c r="O139">
        <v>14673700</v>
      </c>
    </row>
    <row r="140" spans="1:15" x14ac:dyDescent="0.3">
      <c r="A140" s="1">
        <v>44029</v>
      </c>
      <c r="B140">
        <v>247.16999799999999</v>
      </c>
      <c r="C140">
        <v>250.93699599999999</v>
      </c>
      <c r="D140">
        <v>241.28999300000001</v>
      </c>
      <c r="E140">
        <v>246.53999300000001</v>
      </c>
      <c r="F140">
        <v>246.53999300000001</v>
      </c>
      <c r="G140">
        <v>4626600</v>
      </c>
      <c r="I140" s="1">
        <v>44029</v>
      </c>
      <c r="J140">
        <v>44.330002</v>
      </c>
      <c r="K140">
        <v>44.689999</v>
      </c>
      <c r="L140">
        <v>43.389999000000003</v>
      </c>
      <c r="M140">
        <v>43.52</v>
      </c>
      <c r="N140">
        <v>40.388382</v>
      </c>
      <c r="O140">
        <v>17958900</v>
      </c>
    </row>
    <row r="141" spans="1:15" x14ac:dyDescent="0.3">
      <c r="A141" s="1">
        <v>44032</v>
      </c>
      <c r="B141">
        <v>246.48699999999999</v>
      </c>
      <c r="C141">
        <v>271.35000600000001</v>
      </c>
      <c r="D141">
        <v>245.990005</v>
      </c>
      <c r="E141">
        <v>268.57998700000002</v>
      </c>
      <c r="F141">
        <v>268.57998700000002</v>
      </c>
      <c r="G141">
        <v>9784900</v>
      </c>
      <c r="I141" s="1">
        <v>44032</v>
      </c>
      <c r="J141">
        <v>43.209999000000003</v>
      </c>
      <c r="K141">
        <v>43.509998000000003</v>
      </c>
      <c r="L141">
        <v>42.48</v>
      </c>
      <c r="M141">
        <v>42.5</v>
      </c>
      <c r="N141">
        <v>39.441780000000001</v>
      </c>
      <c r="O141">
        <v>18553900</v>
      </c>
    </row>
    <row r="142" spans="1:15" x14ac:dyDescent="0.3">
      <c r="A142" s="1">
        <v>44033</v>
      </c>
      <c r="B142">
        <v>268.75</v>
      </c>
      <c r="C142">
        <v>269.75</v>
      </c>
      <c r="D142">
        <v>258.20001200000002</v>
      </c>
      <c r="E142">
        <v>260.44000199999999</v>
      </c>
      <c r="F142">
        <v>260.44000199999999</v>
      </c>
      <c r="G142">
        <v>4756600</v>
      </c>
      <c r="I142" s="1">
        <v>44033</v>
      </c>
      <c r="J142">
        <v>43.150002000000001</v>
      </c>
      <c r="K142">
        <v>45.189999</v>
      </c>
      <c r="L142">
        <v>43.110000999999997</v>
      </c>
      <c r="M142">
        <v>44.650002000000001</v>
      </c>
      <c r="N142">
        <v>41.437072999999998</v>
      </c>
      <c r="O142">
        <v>28821800</v>
      </c>
    </row>
    <row r="143" spans="1:15" x14ac:dyDescent="0.3">
      <c r="A143" s="1">
        <v>44034</v>
      </c>
      <c r="B143">
        <v>261.95001200000002</v>
      </c>
      <c r="C143">
        <v>265.39999399999999</v>
      </c>
      <c r="D143">
        <v>255.80999800000001</v>
      </c>
      <c r="E143">
        <v>261.17999300000002</v>
      </c>
      <c r="F143">
        <v>261.17999300000002</v>
      </c>
      <c r="G143">
        <v>4581600</v>
      </c>
      <c r="I143" s="1">
        <v>44034</v>
      </c>
      <c r="J143">
        <v>44.150002000000001</v>
      </c>
      <c r="K143">
        <v>44.150002000000001</v>
      </c>
      <c r="L143">
        <v>43.369999</v>
      </c>
      <c r="M143">
        <v>43.610000999999997</v>
      </c>
      <c r="N143">
        <v>40.471908999999997</v>
      </c>
      <c r="O143">
        <v>21345400</v>
      </c>
    </row>
    <row r="144" spans="1:15" x14ac:dyDescent="0.3">
      <c r="A144" s="1">
        <v>44035</v>
      </c>
      <c r="B144">
        <v>260.83999599999999</v>
      </c>
      <c r="C144">
        <v>264.89999399999999</v>
      </c>
      <c r="D144">
        <v>249.21000699999999</v>
      </c>
      <c r="E144">
        <v>251.5</v>
      </c>
      <c r="F144">
        <v>251.5</v>
      </c>
      <c r="G144">
        <v>4589400</v>
      </c>
      <c r="I144" s="1">
        <v>44035</v>
      </c>
      <c r="J144">
        <v>43.400002000000001</v>
      </c>
      <c r="K144">
        <v>43.82</v>
      </c>
      <c r="L144">
        <v>43.02</v>
      </c>
      <c r="M144">
        <v>43.700001</v>
      </c>
      <c r="N144">
        <v>40.555430999999999</v>
      </c>
      <c r="O144">
        <v>17934400</v>
      </c>
    </row>
    <row r="145" spans="1:15" x14ac:dyDescent="0.3">
      <c r="A145" s="1">
        <v>44036</v>
      </c>
      <c r="B145">
        <v>246.199997</v>
      </c>
      <c r="C145">
        <v>250.21000699999999</v>
      </c>
      <c r="D145">
        <v>237.199997</v>
      </c>
      <c r="E145">
        <v>246.55999800000001</v>
      </c>
      <c r="F145">
        <v>246.55999800000001</v>
      </c>
      <c r="G145">
        <v>4303200</v>
      </c>
      <c r="I145" s="1">
        <v>44036</v>
      </c>
      <c r="J145">
        <v>43.880001</v>
      </c>
      <c r="K145">
        <v>44.419998</v>
      </c>
      <c r="L145">
        <v>43.189999</v>
      </c>
      <c r="M145">
        <v>43.43</v>
      </c>
      <c r="N145">
        <v>40.304862999999997</v>
      </c>
      <c r="O145">
        <v>16415300</v>
      </c>
    </row>
    <row r="146" spans="1:15" x14ac:dyDescent="0.3">
      <c r="A146" s="1">
        <v>44039</v>
      </c>
      <c r="B146">
        <v>249.279999</v>
      </c>
      <c r="C146">
        <v>252.970001</v>
      </c>
      <c r="D146">
        <v>246.220001</v>
      </c>
      <c r="E146">
        <v>252.33000200000001</v>
      </c>
      <c r="F146">
        <v>252.33000200000001</v>
      </c>
      <c r="G146">
        <v>3328600</v>
      </c>
      <c r="I146" s="1">
        <v>44039</v>
      </c>
      <c r="J146">
        <v>43.23</v>
      </c>
      <c r="K146">
        <v>44.09</v>
      </c>
      <c r="L146">
        <v>42.970001000000003</v>
      </c>
      <c r="M146">
        <v>44.07</v>
      </c>
      <c r="N146">
        <v>40.898808000000002</v>
      </c>
      <c r="O146">
        <v>18547900</v>
      </c>
    </row>
    <row r="147" spans="1:15" x14ac:dyDescent="0.3">
      <c r="A147" s="1">
        <v>44040</v>
      </c>
      <c r="B147">
        <v>252.699997</v>
      </c>
      <c r="C147">
        <v>258.91000400000001</v>
      </c>
      <c r="D147">
        <v>251.320007</v>
      </c>
      <c r="E147">
        <v>252.179993</v>
      </c>
      <c r="F147">
        <v>252.179993</v>
      </c>
      <c r="G147">
        <v>3366200</v>
      </c>
      <c r="I147" s="1">
        <v>44040</v>
      </c>
      <c r="J147">
        <v>43.91</v>
      </c>
      <c r="K147">
        <v>44.25</v>
      </c>
      <c r="L147">
        <v>43.459999000000003</v>
      </c>
      <c r="M147">
        <v>43.549999</v>
      </c>
      <c r="N147">
        <v>40.416224999999997</v>
      </c>
      <c r="O147">
        <v>19190500</v>
      </c>
    </row>
    <row r="148" spans="1:15" x14ac:dyDescent="0.3">
      <c r="A148" s="1">
        <v>44041</v>
      </c>
      <c r="B148">
        <v>255.550003</v>
      </c>
      <c r="C148">
        <v>259.92999300000002</v>
      </c>
      <c r="D148">
        <v>251.14999399999999</v>
      </c>
      <c r="E148">
        <v>252.38999899999999</v>
      </c>
      <c r="F148">
        <v>252.38999899999999</v>
      </c>
      <c r="G148">
        <v>3333700</v>
      </c>
      <c r="I148" s="1">
        <v>44041</v>
      </c>
      <c r="J148">
        <v>43.709999000000003</v>
      </c>
      <c r="K148">
        <v>44.09</v>
      </c>
      <c r="L148">
        <v>43.34</v>
      </c>
      <c r="M148">
        <v>44.029998999999997</v>
      </c>
      <c r="N148">
        <v>40.861682999999999</v>
      </c>
      <c r="O148">
        <v>14143200</v>
      </c>
    </row>
    <row r="149" spans="1:15" x14ac:dyDescent="0.3">
      <c r="A149" s="1">
        <v>44042</v>
      </c>
      <c r="B149">
        <v>250.31399500000001</v>
      </c>
      <c r="C149">
        <v>256.32598899999999</v>
      </c>
      <c r="D149">
        <v>239.320007</v>
      </c>
      <c r="E149">
        <v>250</v>
      </c>
      <c r="F149">
        <v>250</v>
      </c>
      <c r="G149">
        <v>7926100</v>
      </c>
      <c r="I149" s="1">
        <v>44042</v>
      </c>
      <c r="J149">
        <v>43.130001</v>
      </c>
      <c r="K149">
        <v>43.18</v>
      </c>
      <c r="L149">
        <v>41.830002</v>
      </c>
      <c r="M149">
        <v>41.869999</v>
      </c>
      <c r="N149">
        <v>38.857112999999998</v>
      </c>
      <c r="O149">
        <v>29901100</v>
      </c>
    </row>
    <row r="150" spans="1:15" x14ac:dyDescent="0.3">
      <c r="A150" s="1">
        <v>44043</v>
      </c>
      <c r="B150">
        <v>253.5</v>
      </c>
      <c r="C150">
        <v>255.199997</v>
      </c>
      <c r="D150">
        <v>248.36000100000001</v>
      </c>
      <c r="E150">
        <v>253.91000399999999</v>
      </c>
      <c r="F150">
        <v>253.91000399999999</v>
      </c>
      <c r="G150">
        <v>3378800</v>
      </c>
      <c r="I150" s="1">
        <v>44043</v>
      </c>
      <c r="J150">
        <v>41.16</v>
      </c>
      <c r="K150">
        <v>42.169998</v>
      </c>
      <c r="L150">
        <v>40.909999999999997</v>
      </c>
      <c r="M150">
        <v>42.080002</v>
      </c>
      <c r="N150">
        <v>39.052005999999999</v>
      </c>
      <c r="O150">
        <v>32116200</v>
      </c>
    </row>
    <row r="151" spans="1:15" x14ac:dyDescent="0.3">
      <c r="A151" s="1">
        <v>44046</v>
      </c>
      <c r="B151">
        <v>256.82998700000002</v>
      </c>
      <c r="C151">
        <v>271.10000600000001</v>
      </c>
      <c r="D151">
        <v>256.10998499999999</v>
      </c>
      <c r="E151">
        <v>268</v>
      </c>
      <c r="F151">
        <v>268</v>
      </c>
      <c r="G151">
        <v>6779300</v>
      </c>
      <c r="I151" s="1">
        <v>44046</v>
      </c>
      <c r="J151">
        <v>42.049999</v>
      </c>
      <c r="K151">
        <v>42.5</v>
      </c>
      <c r="L151">
        <v>41.470001000000003</v>
      </c>
      <c r="M151">
        <v>42.25</v>
      </c>
      <c r="N151">
        <v>39.209769999999999</v>
      </c>
      <c r="O151">
        <v>23033600</v>
      </c>
    </row>
    <row r="152" spans="1:15" x14ac:dyDescent="0.3">
      <c r="A152" s="1">
        <v>44047</v>
      </c>
      <c r="B152">
        <v>268</v>
      </c>
      <c r="C152">
        <v>269.19000199999999</v>
      </c>
      <c r="D152">
        <v>262</v>
      </c>
      <c r="E152">
        <v>267.33999599999999</v>
      </c>
      <c r="F152">
        <v>267.33999599999999</v>
      </c>
      <c r="G152">
        <v>3087300</v>
      </c>
      <c r="I152" s="1">
        <v>44047</v>
      </c>
      <c r="J152">
        <v>42.34</v>
      </c>
      <c r="K152">
        <v>43.599997999999999</v>
      </c>
      <c r="L152">
        <v>42.240001999999997</v>
      </c>
      <c r="M152">
        <v>43.470001000000003</v>
      </c>
      <c r="N152">
        <v>40.341983999999997</v>
      </c>
      <c r="O152">
        <v>17724000</v>
      </c>
    </row>
    <row r="153" spans="1:15" x14ac:dyDescent="0.3">
      <c r="A153" s="1">
        <v>44048</v>
      </c>
      <c r="B153">
        <v>266.290009</v>
      </c>
      <c r="C153">
        <v>275.09399400000001</v>
      </c>
      <c r="D153">
        <v>262.51998900000001</v>
      </c>
      <c r="E153">
        <v>272.89999399999999</v>
      </c>
      <c r="F153">
        <v>272.89999399999999</v>
      </c>
      <c r="G153">
        <v>4514900</v>
      </c>
      <c r="I153" s="1">
        <v>44048</v>
      </c>
      <c r="J153">
        <v>44.150002000000001</v>
      </c>
      <c r="K153">
        <v>44.310001</v>
      </c>
      <c r="L153">
        <v>43.529998999999997</v>
      </c>
      <c r="M153">
        <v>43.849997999999999</v>
      </c>
      <c r="N153">
        <v>40.694637</v>
      </c>
      <c r="O153">
        <v>17175100</v>
      </c>
    </row>
    <row r="154" spans="1:15" x14ac:dyDescent="0.3">
      <c r="A154" s="1">
        <v>44049</v>
      </c>
      <c r="B154">
        <v>273.86999500000002</v>
      </c>
      <c r="C154">
        <v>274.48001099999999</v>
      </c>
      <c r="D154">
        <v>263.91000400000001</v>
      </c>
      <c r="E154">
        <v>268.25</v>
      </c>
      <c r="F154">
        <v>268.25</v>
      </c>
      <c r="G154">
        <v>3602900</v>
      </c>
      <c r="I154" s="1">
        <v>44049</v>
      </c>
      <c r="J154">
        <v>43.400002000000001</v>
      </c>
      <c r="K154">
        <v>43.900002000000001</v>
      </c>
      <c r="L154">
        <v>43.25</v>
      </c>
      <c r="M154">
        <v>43.639999000000003</v>
      </c>
      <c r="N154">
        <v>40.499747999999997</v>
      </c>
      <c r="O154">
        <v>14434900</v>
      </c>
    </row>
    <row r="155" spans="1:15" x14ac:dyDescent="0.3">
      <c r="A155" s="1">
        <v>44050</v>
      </c>
      <c r="B155">
        <v>266.45001200000002</v>
      </c>
      <c r="C155">
        <v>268</v>
      </c>
      <c r="D155">
        <v>252.78999300000001</v>
      </c>
      <c r="E155">
        <v>258.73001099999999</v>
      </c>
      <c r="F155">
        <v>258.73001099999999</v>
      </c>
      <c r="G155">
        <v>5024700</v>
      </c>
      <c r="I155" s="1">
        <v>44050</v>
      </c>
      <c r="J155">
        <v>43.23</v>
      </c>
      <c r="K155">
        <v>43.52</v>
      </c>
      <c r="L155">
        <v>42.810001</v>
      </c>
      <c r="M155">
        <v>43.439999</v>
      </c>
      <c r="N155">
        <v>40.314137000000002</v>
      </c>
      <c r="O155">
        <v>18757900</v>
      </c>
    </row>
    <row r="156" spans="1:15" x14ac:dyDescent="0.3">
      <c r="A156" s="1">
        <v>44053</v>
      </c>
      <c r="B156">
        <v>259.14001500000001</v>
      </c>
      <c r="C156">
        <v>261.44000199999999</v>
      </c>
      <c r="D156">
        <v>244.53999300000001</v>
      </c>
      <c r="E156">
        <v>250</v>
      </c>
      <c r="F156">
        <v>250</v>
      </c>
      <c r="G156">
        <v>5714000</v>
      </c>
      <c r="I156" s="1">
        <v>44053</v>
      </c>
      <c r="J156">
        <v>43.990001999999997</v>
      </c>
      <c r="K156">
        <v>44.599997999999999</v>
      </c>
      <c r="L156">
        <v>43.599997999999999</v>
      </c>
      <c r="M156">
        <v>44.509998000000003</v>
      </c>
      <c r="N156">
        <v>41.307147999999998</v>
      </c>
      <c r="O156">
        <v>24367800</v>
      </c>
    </row>
    <row r="157" spans="1:15" x14ac:dyDescent="0.3">
      <c r="A157" s="1">
        <v>44054</v>
      </c>
      <c r="B157">
        <v>245.479996</v>
      </c>
      <c r="C157">
        <v>245.479996</v>
      </c>
      <c r="D157">
        <v>230</v>
      </c>
      <c r="E157">
        <v>231.03999300000001</v>
      </c>
      <c r="F157">
        <v>231.03999300000001</v>
      </c>
      <c r="G157">
        <v>9730500</v>
      </c>
      <c r="I157" s="1">
        <v>44054</v>
      </c>
      <c r="J157">
        <v>45.5</v>
      </c>
      <c r="K157">
        <v>46.419998</v>
      </c>
      <c r="L157">
        <v>44.73</v>
      </c>
      <c r="M157">
        <v>44.970001000000003</v>
      </c>
      <c r="N157">
        <v>41.734046999999997</v>
      </c>
      <c r="O157">
        <v>28987500</v>
      </c>
    </row>
    <row r="158" spans="1:15" x14ac:dyDescent="0.3">
      <c r="A158" s="1">
        <v>44055</v>
      </c>
      <c r="B158">
        <v>232.300003</v>
      </c>
      <c r="C158">
        <v>239.39999399999999</v>
      </c>
      <c r="D158">
        <v>230.75</v>
      </c>
      <c r="E158">
        <v>236.720001</v>
      </c>
      <c r="F158">
        <v>236.720001</v>
      </c>
      <c r="G158">
        <v>3924600</v>
      </c>
      <c r="I158" s="1">
        <v>44055</v>
      </c>
      <c r="J158">
        <v>44.459999000000003</v>
      </c>
      <c r="K158">
        <v>44.939999</v>
      </c>
      <c r="L158">
        <v>43.630001</v>
      </c>
      <c r="M158">
        <v>44.09</v>
      </c>
      <c r="N158">
        <v>41.724583000000003</v>
      </c>
      <c r="O158">
        <v>22503200</v>
      </c>
    </row>
    <row r="159" spans="1:15" x14ac:dyDescent="0.3">
      <c r="A159" s="1">
        <v>44056</v>
      </c>
      <c r="B159">
        <v>238.14999399999999</v>
      </c>
      <c r="C159">
        <v>250.10000600000001</v>
      </c>
      <c r="D159">
        <v>238.14999399999999</v>
      </c>
      <c r="E159">
        <v>247.25</v>
      </c>
      <c r="F159">
        <v>247.25</v>
      </c>
      <c r="G159">
        <v>4749700</v>
      </c>
      <c r="I159" s="1">
        <v>44056</v>
      </c>
      <c r="J159">
        <v>43.5</v>
      </c>
      <c r="K159">
        <v>43.869999</v>
      </c>
      <c r="L159">
        <v>42.919998</v>
      </c>
      <c r="M159">
        <v>43.009998000000003</v>
      </c>
      <c r="N159">
        <v>40.702522000000002</v>
      </c>
      <c r="O159">
        <v>17338700</v>
      </c>
    </row>
    <row r="160" spans="1:15" x14ac:dyDescent="0.3">
      <c r="A160" s="1">
        <v>44057</v>
      </c>
      <c r="B160">
        <v>249.44000199999999</v>
      </c>
      <c r="C160">
        <v>252.429993</v>
      </c>
      <c r="D160">
        <v>242.39999399999999</v>
      </c>
      <c r="E160">
        <v>244.91000399999999</v>
      </c>
      <c r="F160">
        <v>244.91000399999999</v>
      </c>
      <c r="G160">
        <v>3662800</v>
      </c>
      <c r="I160" s="1">
        <v>44057</v>
      </c>
      <c r="J160">
        <v>42.599997999999999</v>
      </c>
      <c r="K160">
        <v>43.279998999999997</v>
      </c>
      <c r="L160">
        <v>42.41</v>
      </c>
      <c r="M160">
        <v>43.200001</v>
      </c>
      <c r="N160">
        <v>40.882328000000001</v>
      </c>
      <c r="O160">
        <v>13595700</v>
      </c>
    </row>
    <row r="161" spans="1:15" x14ac:dyDescent="0.3">
      <c r="A161" s="1">
        <v>44060</v>
      </c>
      <c r="B161">
        <v>248.699997</v>
      </c>
      <c r="C161">
        <v>267.94000199999999</v>
      </c>
      <c r="D161">
        <v>248.509995</v>
      </c>
      <c r="E161">
        <v>266.14999399999999</v>
      </c>
      <c r="F161">
        <v>266.14999399999999</v>
      </c>
      <c r="G161">
        <v>8959200</v>
      </c>
      <c r="I161" s="1">
        <v>44060</v>
      </c>
      <c r="J161">
        <v>43.169998</v>
      </c>
      <c r="K161">
        <v>43.169998</v>
      </c>
      <c r="L161">
        <v>42.470001000000003</v>
      </c>
      <c r="M161">
        <v>42.639999000000003</v>
      </c>
      <c r="N161">
        <v>40.352370999999998</v>
      </c>
      <c r="O161">
        <v>15554600</v>
      </c>
    </row>
    <row r="162" spans="1:15" x14ac:dyDescent="0.3">
      <c r="A162" s="1">
        <v>44061</v>
      </c>
      <c r="B162">
        <v>271.72000100000002</v>
      </c>
      <c r="C162">
        <v>277.77999899999998</v>
      </c>
      <c r="D162">
        <v>265.5</v>
      </c>
      <c r="E162">
        <v>276.79998799999998</v>
      </c>
      <c r="F162">
        <v>276.79998799999998</v>
      </c>
      <c r="G162">
        <v>6517000</v>
      </c>
      <c r="I162" s="1">
        <v>44061</v>
      </c>
      <c r="J162">
        <v>42.59</v>
      </c>
      <c r="K162">
        <v>43.189999</v>
      </c>
      <c r="L162">
        <v>42.290000999999997</v>
      </c>
      <c r="M162">
        <v>42.43</v>
      </c>
      <c r="N162">
        <v>40.153641</v>
      </c>
      <c r="O162">
        <v>13014000</v>
      </c>
    </row>
    <row r="163" spans="1:15" x14ac:dyDescent="0.3">
      <c r="A163" s="1">
        <v>44062</v>
      </c>
      <c r="B163">
        <v>274.68499800000001</v>
      </c>
      <c r="C163">
        <v>279.58999599999999</v>
      </c>
      <c r="D163">
        <v>270.32199100000003</v>
      </c>
      <c r="E163">
        <v>273.51001000000002</v>
      </c>
      <c r="F163">
        <v>273.51001000000002</v>
      </c>
      <c r="G163">
        <v>4674000</v>
      </c>
      <c r="I163" s="1">
        <v>44062</v>
      </c>
      <c r="J163">
        <v>42.349997999999999</v>
      </c>
      <c r="K163">
        <v>42.66</v>
      </c>
      <c r="L163">
        <v>41.869999</v>
      </c>
      <c r="M163">
        <v>41.959999000000003</v>
      </c>
      <c r="N163">
        <v>39.708855</v>
      </c>
      <c r="O163">
        <v>14473100</v>
      </c>
    </row>
    <row r="164" spans="1:15" x14ac:dyDescent="0.3">
      <c r="A164" s="1">
        <v>44063</v>
      </c>
      <c r="B164">
        <v>274.45001200000002</v>
      </c>
      <c r="C164">
        <v>290.88000499999998</v>
      </c>
      <c r="D164">
        <v>273.98998999999998</v>
      </c>
      <c r="E164">
        <v>290.69000199999999</v>
      </c>
      <c r="F164">
        <v>290.69000199999999</v>
      </c>
      <c r="G164">
        <v>9318400</v>
      </c>
      <c r="I164" s="1">
        <v>44063</v>
      </c>
      <c r="J164">
        <v>41.689999</v>
      </c>
      <c r="K164">
        <v>41.889999000000003</v>
      </c>
      <c r="L164">
        <v>41.299999</v>
      </c>
      <c r="M164">
        <v>41.32</v>
      </c>
      <c r="N164">
        <v>39.103191000000002</v>
      </c>
      <c r="O164">
        <v>15678500</v>
      </c>
    </row>
    <row r="165" spans="1:15" x14ac:dyDescent="0.3">
      <c r="A165" s="1">
        <v>44064</v>
      </c>
      <c r="B165">
        <v>291</v>
      </c>
      <c r="C165">
        <v>295.97000100000002</v>
      </c>
      <c r="D165">
        <v>286.94400000000002</v>
      </c>
      <c r="E165">
        <v>289.67999300000002</v>
      </c>
      <c r="F165">
        <v>289.67999300000002</v>
      </c>
      <c r="G165">
        <v>5250100</v>
      </c>
      <c r="I165" s="1">
        <v>44064</v>
      </c>
      <c r="J165">
        <v>41.299999</v>
      </c>
      <c r="K165">
        <v>41.34</v>
      </c>
      <c r="L165">
        <v>40.709999000000003</v>
      </c>
      <c r="M165">
        <v>41.009998000000003</v>
      </c>
      <c r="N165">
        <v>38.809821999999997</v>
      </c>
      <c r="O165">
        <v>25517700</v>
      </c>
    </row>
    <row r="166" spans="1:15" x14ac:dyDescent="0.3">
      <c r="A166" s="1">
        <v>44067</v>
      </c>
      <c r="B166">
        <v>293</v>
      </c>
      <c r="C166">
        <v>293.86999500000002</v>
      </c>
      <c r="D166">
        <v>274.10598800000002</v>
      </c>
      <c r="E166">
        <v>282.27999899999998</v>
      </c>
      <c r="F166">
        <v>282.27999899999998</v>
      </c>
      <c r="G166">
        <v>6463500</v>
      </c>
      <c r="I166" s="1">
        <v>44067</v>
      </c>
      <c r="J166">
        <v>41.279998999999997</v>
      </c>
      <c r="K166">
        <v>42.509998000000003</v>
      </c>
      <c r="L166">
        <v>41.09</v>
      </c>
      <c r="M166">
        <v>42.220001000000003</v>
      </c>
      <c r="N166">
        <v>39.954906000000001</v>
      </c>
      <c r="O166">
        <v>18208900</v>
      </c>
    </row>
    <row r="167" spans="1:15" x14ac:dyDescent="0.3">
      <c r="A167" s="1">
        <v>44068</v>
      </c>
      <c r="B167">
        <v>279</v>
      </c>
      <c r="C167">
        <v>293.72198500000002</v>
      </c>
      <c r="D167">
        <v>275.80999800000001</v>
      </c>
      <c r="E167">
        <v>290.44000199999999</v>
      </c>
      <c r="F167">
        <v>290.44000199999999</v>
      </c>
      <c r="G167">
        <v>4602900</v>
      </c>
      <c r="I167" s="1">
        <v>44068</v>
      </c>
      <c r="J167">
        <v>41.66</v>
      </c>
      <c r="K167">
        <v>42.07</v>
      </c>
      <c r="L167">
        <v>40.700001</v>
      </c>
      <c r="M167">
        <v>40.880001</v>
      </c>
      <c r="N167">
        <v>38.686798000000003</v>
      </c>
      <c r="O167">
        <v>31285600</v>
      </c>
    </row>
    <row r="168" spans="1:15" x14ac:dyDescent="0.3">
      <c r="A168" s="1">
        <v>44069</v>
      </c>
      <c r="B168">
        <v>293</v>
      </c>
      <c r="C168">
        <v>302</v>
      </c>
      <c r="D168">
        <v>290.85000600000001</v>
      </c>
      <c r="E168">
        <v>295.26998900000001</v>
      </c>
      <c r="F168">
        <v>295.26998900000001</v>
      </c>
      <c r="G168">
        <v>5692100</v>
      </c>
      <c r="I168" s="1">
        <v>44069</v>
      </c>
      <c r="J168">
        <v>40.639999000000003</v>
      </c>
      <c r="K168">
        <v>40.840000000000003</v>
      </c>
      <c r="L168">
        <v>40</v>
      </c>
      <c r="M168">
        <v>40.009998000000003</v>
      </c>
      <c r="N168">
        <v>37.863472000000002</v>
      </c>
      <c r="O168">
        <v>26795000</v>
      </c>
    </row>
    <row r="169" spans="1:15" x14ac:dyDescent="0.3">
      <c r="A169" s="1">
        <v>44070</v>
      </c>
      <c r="B169">
        <v>295.69000199999999</v>
      </c>
      <c r="C169">
        <v>301.51998900000001</v>
      </c>
      <c r="D169">
        <v>290.32998700000002</v>
      </c>
      <c r="E169">
        <v>294.67999300000002</v>
      </c>
      <c r="F169">
        <v>294.67999300000002</v>
      </c>
      <c r="G169">
        <v>5560600</v>
      </c>
      <c r="I169" s="1">
        <v>44070</v>
      </c>
      <c r="J169">
        <v>40</v>
      </c>
      <c r="K169">
        <v>40.299999</v>
      </c>
      <c r="L169">
        <v>39.310001</v>
      </c>
      <c r="M169">
        <v>39.740001999999997</v>
      </c>
      <c r="N169">
        <v>37.607959999999999</v>
      </c>
      <c r="O169">
        <v>32034300</v>
      </c>
    </row>
    <row r="170" spans="1:15" x14ac:dyDescent="0.3">
      <c r="A170" s="1">
        <v>44071</v>
      </c>
      <c r="B170">
        <v>299.22000100000002</v>
      </c>
      <c r="C170">
        <v>303.57998700000002</v>
      </c>
      <c r="D170">
        <v>297.26001000000002</v>
      </c>
      <c r="E170">
        <v>299.26998900000001</v>
      </c>
      <c r="F170">
        <v>299.26998900000001</v>
      </c>
      <c r="G170">
        <v>5342300</v>
      </c>
      <c r="I170" s="1">
        <v>44071</v>
      </c>
      <c r="J170">
        <v>39.840000000000003</v>
      </c>
      <c r="K170">
        <v>40.919998</v>
      </c>
      <c r="L170">
        <v>39.759998000000003</v>
      </c>
      <c r="M170">
        <v>40.689999</v>
      </c>
      <c r="N170">
        <v>38.506988999999997</v>
      </c>
      <c r="O170">
        <v>33477100</v>
      </c>
    </row>
    <row r="171" spans="1:15" x14ac:dyDescent="0.3">
      <c r="A171" s="1">
        <v>44074</v>
      </c>
      <c r="B171">
        <v>304.01001000000002</v>
      </c>
      <c r="C171">
        <v>325.89999399999999</v>
      </c>
      <c r="D171">
        <v>301.26998900000001</v>
      </c>
      <c r="E171">
        <v>325.10000600000001</v>
      </c>
      <c r="F171">
        <v>325.10000600000001</v>
      </c>
      <c r="G171">
        <v>23468100</v>
      </c>
      <c r="I171" s="1">
        <v>44074</v>
      </c>
      <c r="J171">
        <v>40.639999000000003</v>
      </c>
      <c r="K171">
        <v>40.720001000000003</v>
      </c>
      <c r="L171">
        <v>39.900002000000001</v>
      </c>
      <c r="M171">
        <v>39.939999</v>
      </c>
      <c r="N171">
        <v>37.797226000000002</v>
      </c>
      <c r="O171">
        <v>25259600</v>
      </c>
    </row>
    <row r="172" spans="1:15" x14ac:dyDescent="0.3">
      <c r="A172" s="1">
        <v>44075</v>
      </c>
      <c r="B172">
        <v>439.51001000000002</v>
      </c>
      <c r="C172">
        <v>478</v>
      </c>
      <c r="D172">
        <v>410.67999300000002</v>
      </c>
      <c r="E172">
        <v>457.69000199999999</v>
      </c>
      <c r="F172">
        <v>457.69000199999999</v>
      </c>
      <c r="G172">
        <v>53226200</v>
      </c>
      <c r="I172" s="1">
        <v>44075</v>
      </c>
      <c r="J172">
        <v>39.75</v>
      </c>
      <c r="K172">
        <v>39.75</v>
      </c>
      <c r="L172">
        <v>39.049999</v>
      </c>
      <c r="M172">
        <v>39.43</v>
      </c>
      <c r="N172">
        <v>37.314590000000003</v>
      </c>
      <c r="O172">
        <v>22464100</v>
      </c>
    </row>
    <row r="173" spans="1:15" x14ac:dyDescent="0.3">
      <c r="A173" s="1">
        <v>44076</v>
      </c>
      <c r="B173">
        <v>445.67001299999998</v>
      </c>
      <c r="C173">
        <v>445.67001299999998</v>
      </c>
      <c r="D173">
        <v>410</v>
      </c>
      <c r="E173">
        <v>423.55999800000001</v>
      </c>
      <c r="F173">
        <v>423.55999800000001</v>
      </c>
      <c r="G173">
        <v>18866800</v>
      </c>
      <c r="I173" s="1">
        <v>44076</v>
      </c>
      <c r="J173">
        <v>39.229999999999997</v>
      </c>
      <c r="K173">
        <v>39.720001000000003</v>
      </c>
      <c r="L173">
        <v>38.950001</v>
      </c>
      <c r="M173">
        <v>39.189999</v>
      </c>
      <c r="N173">
        <v>37.087463</v>
      </c>
      <c r="O173">
        <v>26413400</v>
      </c>
    </row>
    <row r="174" spans="1:15" x14ac:dyDescent="0.3">
      <c r="A174" s="1">
        <v>44077</v>
      </c>
      <c r="B174">
        <v>399.54998799999998</v>
      </c>
      <c r="C174">
        <v>409.89999399999999</v>
      </c>
      <c r="D174">
        <v>367</v>
      </c>
      <c r="E174">
        <v>381.32000699999998</v>
      </c>
      <c r="F174">
        <v>381.32000699999998</v>
      </c>
      <c r="G174">
        <v>20304300</v>
      </c>
      <c r="I174" s="1">
        <v>44077</v>
      </c>
      <c r="J174">
        <v>39.200001</v>
      </c>
      <c r="K174">
        <v>40.029998999999997</v>
      </c>
      <c r="L174">
        <v>38.880001</v>
      </c>
      <c r="M174">
        <v>39.110000999999997</v>
      </c>
      <c r="N174">
        <v>37.011757000000003</v>
      </c>
      <c r="O174">
        <v>28817200</v>
      </c>
    </row>
    <row r="175" spans="1:15" x14ac:dyDescent="0.3">
      <c r="A175" s="1">
        <v>44078</v>
      </c>
      <c r="B175">
        <v>375.5</v>
      </c>
      <c r="C175">
        <v>386.01001000000002</v>
      </c>
      <c r="D175">
        <v>346.76001000000002</v>
      </c>
      <c r="E175">
        <v>369.89001500000001</v>
      </c>
      <c r="F175">
        <v>369.89001500000001</v>
      </c>
      <c r="G175">
        <v>13230100</v>
      </c>
      <c r="I175" s="1">
        <v>44078</v>
      </c>
      <c r="J175">
        <v>39.459999000000003</v>
      </c>
      <c r="K175">
        <v>39.790000999999997</v>
      </c>
      <c r="L175">
        <v>38.650002000000001</v>
      </c>
      <c r="M175">
        <v>39.080002</v>
      </c>
      <c r="N175">
        <v>36.983367999999999</v>
      </c>
      <c r="O175">
        <v>24632500</v>
      </c>
    </row>
    <row r="176" spans="1:15" x14ac:dyDescent="0.3">
      <c r="A176" s="1">
        <v>44082</v>
      </c>
      <c r="B176">
        <v>350.70001200000002</v>
      </c>
      <c r="C176">
        <v>365.5</v>
      </c>
      <c r="D176">
        <v>345.67999300000002</v>
      </c>
      <c r="E176">
        <v>350.88000499999998</v>
      </c>
      <c r="F176">
        <v>350.88000499999998</v>
      </c>
      <c r="G176">
        <v>7966500</v>
      </c>
      <c r="I176" s="1">
        <v>44082</v>
      </c>
      <c r="J176">
        <v>38.25</v>
      </c>
      <c r="K176">
        <v>38.68</v>
      </c>
      <c r="L176">
        <v>37.349997999999999</v>
      </c>
      <c r="M176">
        <v>38.18</v>
      </c>
      <c r="N176">
        <v>36.131653</v>
      </c>
      <c r="O176">
        <v>38496400</v>
      </c>
    </row>
    <row r="177" spans="1:15" x14ac:dyDescent="0.3">
      <c r="A177" s="1">
        <v>44083</v>
      </c>
      <c r="B177">
        <v>369.75</v>
      </c>
      <c r="C177">
        <v>394.79901100000001</v>
      </c>
      <c r="D177">
        <v>362.12298600000003</v>
      </c>
      <c r="E177">
        <v>389.64999399999999</v>
      </c>
      <c r="F177">
        <v>389.64999399999999</v>
      </c>
      <c r="G177">
        <v>17325800</v>
      </c>
      <c r="I177" s="1">
        <v>44083</v>
      </c>
      <c r="J177">
        <v>38.349997999999999</v>
      </c>
      <c r="K177">
        <v>38.840000000000003</v>
      </c>
      <c r="L177">
        <v>37.919998</v>
      </c>
      <c r="M177">
        <v>37.950001</v>
      </c>
      <c r="N177">
        <v>35.913994000000002</v>
      </c>
      <c r="O177">
        <v>25886100</v>
      </c>
    </row>
    <row r="178" spans="1:15" x14ac:dyDescent="0.3">
      <c r="A178" s="1">
        <v>44084</v>
      </c>
      <c r="B178">
        <v>400</v>
      </c>
      <c r="C178">
        <v>407.82000699999998</v>
      </c>
      <c r="D178">
        <v>378.35998499999999</v>
      </c>
      <c r="E178">
        <v>384.48001099999999</v>
      </c>
      <c r="F178">
        <v>384.48001099999999</v>
      </c>
      <c r="G178">
        <v>11932100</v>
      </c>
      <c r="I178" s="1">
        <v>44084</v>
      </c>
      <c r="J178">
        <v>38.270000000000003</v>
      </c>
      <c r="K178">
        <v>38.369999</v>
      </c>
      <c r="L178">
        <v>36.900002000000001</v>
      </c>
      <c r="M178">
        <v>37</v>
      </c>
      <c r="N178">
        <v>35.014957000000003</v>
      </c>
      <c r="O178">
        <v>34381200</v>
      </c>
    </row>
    <row r="179" spans="1:15" x14ac:dyDescent="0.3">
      <c r="A179" s="1">
        <v>44085</v>
      </c>
      <c r="B179">
        <v>389.13000499999998</v>
      </c>
      <c r="C179">
        <v>400.75</v>
      </c>
      <c r="D179">
        <v>373.04998799999998</v>
      </c>
      <c r="E179">
        <v>383</v>
      </c>
      <c r="F179">
        <v>383</v>
      </c>
      <c r="G179">
        <v>9297600</v>
      </c>
      <c r="I179" s="1">
        <v>44085</v>
      </c>
      <c r="J179">
        <v>37.130001</v>
      </c>
      <c r="K179">
        <v>37.310001</v>
      </c>
      <c r="L179">
        <v>36.490001999999997</v>
      </c>
      <c r="M179">
        <v>36.900002000000001</v>
      </c>
      <c r="N179">
        <v>34.920326000000003</v>
      </c>
      <c r="O179">
        <v>26838600</v>
      </c>
    </row>
    <row r="180" spans="1:15" x14ac:dyDescent="0.3">
      <c r="A180" s="1">
        <v>44088</v>
      </c>
      <c r="B180">
        <v>391.74499500000002</v>
      </c>
      <c r="C180">
        <v>404.35998499999999</v>
      </c>
      <c r="D180">
        <v>386.13000499999998</v>
      </c>
      <c r="E180">
        <v>403.51001000000002</v>
      </c>
      <c r="F180">
        <v>403.51001000000002</v>
      </c>
      <c r="G180">
        <v>7963100</v>
      </c>
      <c r="I180" s="1">
        <v>44088</v>
      </c>
      <c r="J180">
        <v>36.909999999999997</v>
      </c>
      <c r="K180">
        <v>37.009998000000003</v>
      </c>
      <c r="L180">
        <v>36.490001999999997</v>
      </c>
      <c r="M180">
        <v>36.659999999999997</v>
      </c>
      <c r="N180">
        <v>34.693199</v>
      </c>
      <c r="O180">
        <v>26129900</v>
      </c>
    </row>
    <row r="181" spans="1:15" x14ac:dyDescent="0.3">
      <c r="A181" s="1">
        <v>44089</v>
      </c>
      <c r="B181">
        <v>410</v>
      </c>
      <c r="C181">
        <v>413.5</v>
      </c>
      <c r="D181">
        <v>391.04998799999998</v>
      </c>
      <c r="E181">
        <v>410.94000199999999</v>
      </c>
      <c r="F181">
        <v>410.94000199999999</v>
      </c>
      <c r="G181">
        <v>8495600</v>
      </c>
      <c r="I181" s="1">
        <v>44089</v>
      </c>
      <c r="J181">
        <v>36.799999</v>
      </c>
      <c r="K181">
        <v>37.380001</v>
      </c>
      <c r="L181">
        <v>36.209999000000003</v>
      </c>
      <c r="M181">
        <v>36.270000000000003</v>
      </c>
      <c r="N181">
        <v>34.324123</v>
      </c>
      <c r="O181">
        <v>23724200</v>
      </c>
    </row>
    <row r="182" spans="1:15" x14ac:dyDescent="0.3">
      <c r="A182" s="1">
        <v>44090</v>
      </c>
      <c r="B182">
        <v>406.27398699999998</v>
      </c>
      <c r="C182">
        <v>419.42001299999998</v>
      </c>
      <c r="D182">
        <v>404.22000100000002</v>
      </c>
      <c r="E182">
        <v>408.17001299999998</v>
      </c>
      <c r="F182">
        <v>408.17001299999998</v>
      </c>
      <c r="G182">
        <v>6739800</v>
      </c>
      <c r="I182" s="1">
        <v>44090</v>
      </c>
      <c r="J182">
        <v>36.459999000000003</v>
      </c>
      <c r="K182">
        <v>38.150002000000001</v>
      </c>
      <c r="L182">
        <v>36.270000000000003</v>
      </c>
      <c r="M182">
        <v>37.810001</v>
      </c>
      <c r="N182">
        <v>35.781502000000003</v>
      </c>
      <c r="O182">
        <v>30890900</v>
      </c>
    </row>
    <row r="183" spans="1:15" x14ac:dyDescent="0.3">
      <c r="A183" s="1">
        <v>44091</v>
      </c>
      <c r="B183">
        <v>389</v>
      </c>
      <c r="C183">
        <v>417.82000699999998</v>
      </c>
      <c r="D183">
        <v>387</v>
      </c>
      <c r="E183">
        <v>413.125</v>
      </c>
      <c r="F183">
        <v>413.125</v>
      </c>
      <c r="G183">
        <v>9260400</v>
      </c>
      <c r="I183" s="1">
        <v>44091</v>
      </c>
      <c r="J183">
        <v>37.349997999999999</v>
      </c>
      <c r="K183">
        <v>37.979999999999997</v>
      </c>
      <c r="L183">
        <v>36.970001000000003</v>
      </c>
      <c r="M183">
        <v>37.799999</v>
      </c>
      <c r="N183">
        <v>35.772038000000002</v>
      </c>
      <c r="O183">
        <v>24696200</v>
      </c>
    </row>
    <row r="184" spans="1:15" x14ac:dyDescent="0.3">
      <c r="A184" s="1">
        <v>44092</v>
      </c>
      <c r="B184">
        <v>419.79998799999998</v>
      </c>
      <c r="C184">
        <v>442</v>
      </c>
      <c r="D184">
        <v>407.5</v>
      </c>
      <c r="E184">
        <v>438.73001099999999</v>
      </c>
      <c r="F184">
        <v>438.73001099999999</v>
      </c>
      <c r="G184">
        <v>22315700</v>
      </c>
      <c r="I184" s="1">
        <v>44092</v>
      </c>
      <c r="J184">
        <v>37.529998999999997</v>
      </c>
      <c r="K184">
        <v>37.82</v>
      </c>
      <c r="L184">
        <v>36.700001</v>
      </c>
      <c r="M184">
        <v>37.189999</v>
      </c>
      <c r="N184">
        <v>35.194766999999999</v>
      </c>
      <c r="O184">
        <v>46853800</v>
      </c>
    </row>
    <row r="185" spans="1:15" x14ac:dyDescent="0.3">
      <c r="A185" s="1">
        <v>44095</v>
      </c>
      <c r="B185">
        <v>434</v>
      </c>
      <c r="C185">
        <v>470</v>
      </c>
      <c r="D185">
        <v>434</v>
      </c>
      <c r="E185">
        <v>468.47000100000002</v>
      </c>
      <c r="F185">
        <v>468.47000100000002</v>
      </c>
      <c r="G185">
        <v>16843800</v>
      </c>
      <c r="I185" s="1">
        <v>44095</v>
      </c>
      <c r="J185">
        <v>36.43</v>
      </c>
      <c r="K185">
        <v>36.709999000000003</v>
      </c>
      <c r="L185">
        <v>35.68</v>
      </c>
      <c r="M185">
        <v>36.43</v>
      </c>
      <c r="N185">
        <v>34.475535999999998</v>
      </c>
      <c r="O185">
        <v>35351800</v>
      </c>
    </row>
    <row r="186" spans="1:15" x14ac:dyDescent="0.3">
      <c r="A186" s="1">
        <v>44096</v>
      </c>
      <c r="B186">
        <v>477</v>
      </c>
      <c r="C186">
        <v>494.89999399999999</v>
      </c>
      <c r="D186">
        <v>458.75</v>
      </c>
      <c r="E186">
        <v>492.60000600000001</v>
      </c>
      <c r="F186">
        <v>492.60000600000001</v>
      </c>
      <c r="G186">
        <v>16440600</v>
      </c>
      <c r="I186" s="1">
        <v>44096</v>
      </c>
      <c r="J186">
        <v>36.459999000000003</v>
      </c>
      <c r="K186">
        <v>36.840000000000003</v>
      </c>
      <c r="L186">
        <v>35.470001000000003</v>
      </c>
      <c r="M186">
        <v>35.529998999999997</v>
      </c>
      <c r="N186">
        <v>33.623824999999997</v>
      </c>
      <c r="O186">
        <v>27303200</v>
      </c>
    </row>
    <row r="187" spans="1:15" x14ac:dyDescent="0.3">
      <c r="A187" s="1">
        <v>44097</v>
      </c>
      <c r="B187">
        <v>489.48998999999998</v>
      </c>
      <c r="C187">
        <v>529.73999000000003</v>
      </c>
      <c r="D187">
        <v>483.25299100000001</v>
      </c>
      <c r="E187">
        <v>500.52999899999998</v>
      </c>
      <c r="F187">
        <v>500.52999899999998</v>
      </c>
      <c r="G187">
        <v>27051300</v>
      </c>
      <c r="I187" s="1">
        <v>44097</v>
      </c>
      <c r="J187">
        <v>35.650002000000001</v>
      </c>
      <c r="K187">
        <v>35.790000999999997</v>
      </c>
      <c r="L187">
        <v>34.349997999999999</v>
      </c>
      <c r="M187">
        <v>34.389999000000003</v>
      </c>
      <c r="N187">
        <v>32.544983000000002</v>
      </c>
      <c r="O187">
        <v>31251400</v>
      </c>
    </row>
    <row r="188" spans="1:15" x14ac:dyDescent="0.3">
      <c r="A188" s="1">
        <v>44098</v>
      </c>
      <c r="B188">
        <v>487.01001000000002</v>
      </c>
      <c r="C188">
        <v>502.25</v>
      </c>
      <c r="D188">
        <v>457.69000199999999</v>
      </c>
      <c r="E188">
        <v>464.98001099999999</v>
      </c>
      <c r="F188">
        <v>464.98001099999999</v>
      </c>
      <c r="G188">
        <v>17896600</v>
      </c>
      <c r="I188" s="1">
        <v>44098</v>
      </c>
      <c r="J188">
        <v>34.400002000000001</v>
      </c>
      <c r="K188">
        <v>34.82</v>
      </c>
      <c r="L188">
        <v>33.759998000000003</v>
      </c>
      <c r="M188">
        <v>34.32</v>
      </c>
      <c r="N188">
        <v>32.478740999999999</v>
      </c>
      <c r="O188">
        <v>26796000</v>
      </c>
    </row>
    <row r="189" spans="1:15" x14ac:dyDescent="0.3">
      <c r="A189" s="1">
        <v>44099</v>
      </c>
      <c r="B189">
        <v>474.86999500000002</v>
      </c>
      <c r="C189">
        <v>500</v>
      </c>
      <c r="D189">
        <v>474.86999500000002</v>
      </c>
      <c r="E189">
        <v>496.5</v>
      </c>
      <c r="F189">
        <v>496.5</v>
      </c>
      <c r="G189">
        <v>12906800</v>
      </c>
      <c r="I189" s="1">
        <v>44099</v>
      </c>
      <c r="J189">
        <v>34</v>
      </c>
      <c r="K189">
        <v>34.939999</v>
      </c>
      <c r="L189">
        <v>33.880001</v>
      </c>
      <c r="M189">
        <v>34.639999000000003</v>
      </c>
      <c r="N189">
        <v>32.781573999999999</v>
      </c>
      <c r="O189">
        <v>23486000</v>
      </c>
    </row>
    <row r="190" spans="1:15" x14ac:dyDescent="0.3">
      <c r="A190" s="1">
        <v>44102</v>
      </c>
      <c r="B190">
        <v>502.41000400000001</v>
      </c>
      <c r="C190">
        <v>519.77002000000005</v>
      </c>
      <c r="D190">
        <v>479.57000699999998</v>
      </c>
      <c r="E190">
        <v>487.66000400000001</v>
      </c>
      <c r="F190">
        <v>487.66000400000001</v>
      </c>
      <c r="G190">
        <v>17621300</v>
      </c>
      <c r="I190" s="1">
        <v>44102</v>
      </c>
      <c r="J190">
        <v>35.139999000000003</v>
      </c>
      <c r="K190">
        <v>35.900002000000001</v>
      </c>
      <c r="L190">
        <v>35.099997999999999</v>
      </c>
      <c r="M190">
        <v>35.310001</v>
      </c>
      <c r="N190">
        <v>33.415627000000001</v>
      </c>
      <c r="O190">
        <v>23396500</v>
      </c>
    </row>
    <row r="191" spans="1:15" x14ac:dyDescent="0.3">
      <c r="A191" s="1">
        <v>44103</v>
      </c>
      <c r="B191">
        <v>488.13000499999998</v>
      </c>
      <c r="C191">
        <v>489.79998799999998</v>
      </c>
      <c r="D191">
        <v>463</v>
      </c>
      <c r="E191">
        <v>465.5</v>
      </c>
      <c r="F191">
        <v>465.5</v>
      </c>
      <c r="G191">
        <v>15211300</v>
      </c>
      <c r="I191" s="1">
        <v>44103</v>
      </c>
      <c r="J191">
        <v>35</v>
      </c>
      <c r="K191">
        <v>35.110000999999997</v>
      </c>
      <c r="L191">
        <v>33.990001999999997</v>
      </c>
      <c r="M191">
        <v>34.279998999999997</v>
      </c>
      <c r="N191">
        <v>32.440883999999997</v>
      </c>
      <c r="O191">
        <v>20770500</v>
      </c>
    </row>
    <row r="192" spans="1:15" x14ac:dyDescent="0.3">
      <c r="A192" s="1">
        <v>44104</v>
      </c>
      <c r="B192">
        <v>464.209991</v>
      </c>
      <c r="C192">
        <v>481.55499300000002</v>
      </c>
      <c r="D192">
        <v>462</v>
      </c>
      <c r="E192">
        <v>470.10998499999999</v>
      </c>
      <c r="F192">
        <v>470.10998499999999</v>
      </c>
      <c r="G192">
        <v>8971100</v>
      </c>
      <c r="I192" s="1">
        <v>44104</v>
      </c>
      <c r="J192">
        <v>34.639999000000003</v>
      </c>
      <c r="K192">
        <v>34.919998</v>
      </c>
      <c r="L192">
        <v>34.130001</v>
      </c>
      <c r="M192">
        <v>34.330002</v>
      </c>
      <c r="N192">
        <v>32.488205000000001</v>
      </c>
      <c r="O192">
        <v>22223700</v>
      </c>
    </row>
    <row r="193" spans="1:15" x14ac:dyDescent="0.3">
      <c r="A193" s="1">
        <v>44105</v>
      </c>
      <c r="B193">
        <v>477</v>
      </c>
      <c r="C193">
        <v>483.73001099999999</v>
      </c>
      <c r="D193">
        <v>465</v>
      </c>
      <c r="E193">
        <v>482.98998999999998</v>
      </c>
      <c r="F193">
        <v>482.98998999999998</v>
      </c>
      <c r="G193">
        <v>7859300</v>
      </c>
      <c r="I193" s="1">
        <v>44105</v>
      </c>
      <c r="J193">
        <v>33.790000999999997</v>
      </c>
      <c r="K193">
        <v>34.099997999999999</v>
      </c>
      <c r="L193">
        <v>32.939999</v>
      </c>
      <c r="M193">
        <v>33.130001</v>
      </c>
      <c r="N193">
        <v>31.352582999999999</v>
      </c>
      <c r="O193">
        <v>36890200</v>
      </c>
    </row>
    <row r="194" spans="1:15" x14ac:dyDescent="0.3">
      <c r="A194" s="1">
        <v>44106</v>
      </c>
      <c r="B194">
        <v>485.00500499999998</v>
      </c>
      <c r="C194">
        <v>507.48998999999998</v>
      </c>
      <c r="D194">
        <v>481</v>
      </c>
      <c r="E194">
        <v>482.23001099999999</v>
      </c>
      <c r="F194">
        <v>482.23001099999999</v>
      </c>
      <c r="G194">
        <v>12791700</v>
      </c>
      <c r="I194" s="1">
        <v>44106</v>
      </c>
      <c r="J194">
        <v>32.25</v>
      </c>
      <c r="K194">
        <v>33.349997999999999</v>
      </c>
      <c r="L194">
        <v>32.209999000000003</v>
      </c>
      <c r="M194">
        <v>32.979999999999997</v>
      </c>
      <c r="N194">
        <v>31.210629999999998</v>
      </c>
      <c r="O194">
        <v>32694300</v>
      </c>
    </row>
    <row r="195" spans="1:15" x14ac:dyDescent="0.3">
      <c r="A195" s="1">
        <v>44109</v>
      </c>
      <c r="B195">
        <v>493.97000100000002</v>
      </c>
      <c r="C195">
        <v>496.89999399999999</v>
      </c>
      <c r="D195">
        <v>475.26001000000002</v>
      </c>
      <c r="E195">
        <v>485.36999500000002</v>
      </c>
      <c r="F195">
        <v>485.36999500000002</v>
      </c>
      <c r="G195">
        <v>7534700</v>
      </c>
      <c r="I195" s="1">
        <v>44109</v>
      </c>
      <c r="J195">
        <v>33.32</v>
      </c>
      <c r="K195">
        <v>33.75</v>
      </c>
      <c r="L195">
        <v>33.169998</v>
      </c>
      <c r="M195">
        <v>33.740001999999997</v>
      </c>
      <c r="N195">
        <v>31.929859</v>
      </c>
      <c r="O195">
        <v>22965200</v>
      </c>
    </row>
    <row r="196" spans="1:15" x14ac:dyDescent="0.3">
      <c r="A196" s="1">
        <v>44110</v>
      </c>
      <c r="B196">
        <v>480.51001000000002</v>
      </c>
      <c r="C196">
        <v>487.89999399999999</v>
      </c>
      <c r="D196">
        <v>473.22299199999998</v>
      </c>
      <c r="E196">
        <v>478.25</v>
      </c>
      <c r="F196">
        <v>478.25</v>
      </c>
      <c r="G196">
        <v>6097700</v>
      </c>
      <c r="I196" s="1">
        <v>44110</v>
      </c>
      <c r="J196">
        <v>34.119999</v>
      </c>
      <c r="K196">
        <v>34.419998</v>
      </c>
      <c r="L196">
        <v>33.310001</v>
      </c>
      <c r="M196">
        <v>33.389999000000003</v>
      </c>
      <c r="N196">
        <v>31.598633</v>
      </c>
      <c r="O196">
        <v>26731800</v>
      </c>
    </row>
    <row r="197" spans="1:15" x14ac:dyDescent="0.3">
      <c r="A197" s="1">
        <v>44111</v>
      </c>
      <c r="B197">
        <v>482.5</v>
      </c>
      <c r="C197">
        <v>487.5</v>
      </c>
      <c r="D197">
        <v>477.10998499999999</v>
      </c>
      <c r="E197">
        <v>480.60998499999999</v>
      </c>
      <c r="F197">
        <v>480.60998499999999</v>
      </c>
      <c r="G197">
        <v>4449500</v>
      </c>
      <c r="I197" s="1">
        <v>44111</v>
      </c>
      <c r="J197">
        <v>33.639999000000003</v>
      </c>
      <c r="K197">
        <v>33.740001999999997</v>
      </c>
      <c r="L197">
        <v>33.209999000000003</v>
      </c>
      <c r="M197">
        <v>33.5</v>
      </c>
      <c r="N197">
        <v>31.702732000000001</v>
      </c>
      <c r="O197">
        <v>23779300</v>
      </c>
    </row>
    <row r="198" spans="1:15" x14ac:dyDescent="0.3">
      <c r="A198" s="1">
        <v>44112</v>
      </c>
      <c r="B198">
        <v>484</v>
      </c>
      <c r="C198">
        <v>489.48998999999998</v>
      </c>
      <c r="D198">
        <v>475.57998700000002</v>
      </c>
      <c r="E198">
        <v>478.54998799999998</v>
      </c>
      <c r="F198">
        <v>478.54998799999998</v>
      </c>
      <c r="G198">
        <v>4193100</v>
      </c>
      <c r="I198" s="1">
        <v>44112</v>
      </c>
      <c r="J198">
        <v>33.880001</v>
      </c>
      <c r="K198">
        <v>35.340000000000003</v>
      </c>
      <c r="L198">
        <v>33.759998000000003</v>
      </c>
      <c r="M198">
        <v>35.259998000000003</v>
      </c>
      <c r="N198">
        <v>33.368309000000004</v>
      </c>
      <c r="O198">
        <v>34413700</v>
      </c>
    </row>
    <row r="199" spans="1:15" x14ac:dyDescent="0.3">
      <c r="A199" s="1">
        <v>44113</v>
      </c>
      <c r="B199">
        <v>487.98998999999998</v>
      </c>
      <c r="C199">
        <v>498.89999399999999</v>
      </c>
      <c r="D199">
        <v>484.07998700000002</v>
      </c>
      <c r="E199">
        <v>492.41000400000001</v>
      </c>
      <c r="F199">
        <v>492.41000400000001</v>
      </c>
      <c r="G199">
        <v>8719700</v>
      </c>
      <c r="I199" s="1">
        <v>44113</v>
      </c>
      <c r="J199">
        <v>35.68</v>
      </c>
      <c r="K199">
        <v>35.950001</v>
      </c>
      <c r="L199">
        <v>34.650002000000001</v>
      </c>
      <c r="M199">
        <v>34.740001999999997</v>
      </c>
      <c r="N199">
        <v>32.876209000000003</v>
      </c>
      <c r="O199">
        <v>29228600</v>
      </c>
    </row>
    <row r="200" spans="1:15" x14ac:dyDescent="0.3">
      <c r="A200" s="1">
        <v>44116</v>
      </c>
      <c r="B200">
        <v>501.42999300000002</v>
      </c>
      <c r="C200">
        <v>506.10998499999999</v>
      </c>
      <c r="D200">
        <v>490.47799700000002</v>
      </c>
      <c r="E200">
        <v>491.540009</v>
      </c>
      <c r="F200">
        <v>491.540009</v>
      </c>
      <c r="G200">
        <v>6979500</v>
      </c>
      <c r="I200" s="1">
        <v>44116</v>
      </c>
      <c r="J200">
        <v>34.540000999999997</v>
      </c>
      <c r="K200">
        <v>34.729999999999997</v>
      </c>
      <c r="L200">
        <v>34.229999999999997</v>
      </c>
      <c r="M200">
        <v>34.630001</v>
      </c>
      <c r="N200">
        <v>32.772109999999998</v>
      </c>
      <c r="O200">
        <v>17912800</v>
      </c>
    </row>
    <row r="201" spans="1:15" x14ac:dyDescent="0.3">
      <c r="A201" s="1">
        <v>44117</v>
      </c>
      <c r="B201">
        <v>494</v>
      </c>
      <c r="C201">
        <v>520</v>
      </c>
      <c r="D201">
        <v>493</v>
      </c>
      <c r="E201">
        <v>518.78997800000002</v>
      </c>
      <c r="F201">
        <v>518.78997800000002</v>
      </c>
      <c r="G201">
        <v>8941500</v>
      </c>
      <c r="I201" s="1">
        <v>44117</v>
      </c>
      <c r="J201">
        <v>34.729999999999997</v>
      </c>
      <c r="K201">
        <v>34.869999</v>
      </c>
      <c r="L201">
        <v>34.099997999999999</v>
      </c>
      <c r="M201">
        <v>34.220001000000003</v>
      </c>
      <c r="N201">
        <v>32.384106000000003</v>
      </c>
      <c r="O201">
        <v>20995100</v>
      </c>
    </row>
    <row r="202" spans="1:15" x14ac:dyDescent="0.3">
      <c r="A202" s="1">
        <v>44118</v>
      </c>
      <c r="B202">
        <v>518.78002900000001</v>
      </c>
      <c r="C202">
        <v>519.79998799999998</v>
      </c>
      <c r="D202">
        <v>498.60000600000001</v>
      </c>
      <c r="E202">
        <v>509.25</v>
      </c>
      <c r="F202">
        <v>509.25</v>
      </c>
      <c r="G202">
        <v>8308900</v>
      </c>
      <c r="I202" s="1">
        <v>44118</v>
      </c>
      <c r="J202">
        <v>34.060001</v>
      </c>
      <c r="K202">
        <v>34.830002</v>
      </c>
      <c r="L202">
        <v>34.029998999999997</v>
      </c>
      <c r="M202">
        <v>34.150002000000001</v>
      </c>
      <c r="N202">
        <v>32.317860000000003</v>
      </c>
      <c r="O202">
        <v>17743000</v>
      </c>
    </row>
    <row r="203" spans="1:15" x14ac:dyDescent="0.3">
      <c r="A203" s="1">
        <v>44119</v>
      </c>
      <c r="B203">
        <v>509.07998700000002</v>
      </c>
      <c r="C203">
        <v>540.04998799999998</v>
      </c>
      <c r="D203">
        <v>506.5</v>
      </c>
      <c r="E203">
        <v>536.40002400000003</v>
      </c>
      <c r="F203">
        <v>536.40002400000003</v>
      </c>
      <c r="G203">
        <v>16520600</v>
      </c>
      <c r="I203" s="1">
        <v>44119</v>
      </c>
      <c r="J203">
        <v>33.700001</v>
      </c>
      <c r="K203">
        <v>34.459999000000003</v>
      </c>
      <c r="L203">
        <v>33.270000000000003</v>
      </c>
      <c r="M203">
        <v>34.450001</v>
      </c>
      <c r="N203">
        <v>32.601768</v>
      </c>
      <c r="O203">
        <v>23251600</v>
      </c>
    </row>
    <row r="204" spans="1:15" x14ac:dyDescent="0.3">
      <c r="A204" s="1">
        <v>44120</v>
      </c>
      <c r="B204">
        <v>544</v>
      </c>
      <c r="C204">
        <v>565.45001200000002</v>
      </c>
      <c r="D204">
        <v>543.25</v>
      </c>
      <c r="E204">
        <v>559</v>
      </c>
      <c r="F204">
        <v>559</v>
      </c>
      <c r="G204">
        <v>13745800</v>
      </c>
      <c r="I204" s="1">
        <v>44120</v>
      </c>
      <c r="J204">
        <v>34.369999</v>
      </c>
      <c r="K204">
        <v>34.639999000000003</v>
      </c>
      <c r="L204">
        <v>33.880001</v>
      </c>
      <c r="M204">
        <v>34.099997999999999</v>
      </c>
      <c r="N204">
        <v>32.270541999999999</v>
      </c>
      <c r="O204">
        <v>22627200</v>
      </c>
    </row>
    <row r="205" spans="1:15" x14ac:dyDescent="0.3">
      <c r="A205" s="1">
        <v>44123</v>
      </c>
      <c r="B205">
        <v>572.5</v>
      </c>
      <c r="C205">
        <v>588.84002699999996</v>
      </c>
      <c r="D205">
        <v>562.54998799999998</v>
      </c>
      <c r="E205">
        <v>568.34002699999996</v>
      </c>
      <c r="F205">
        <v>568.34002699999996</v>
      </c>
      <c r="G205">
        <v>15193200</v>
      </c>
      <c r="I205" s="1">
        <v>44123</v>
      </c>
      <c r="J205">
        <v>34.099997999999999</v>
      </c>
      <c r="K205">
        <v>34.369999</v>
      </c>
      <c r="L205">
        <v>33.389999000000003</v>
      </c>
      <c r="M205">
        <v>33.419998</v>
      </c>
      <c r="N205">
        <v>31.627023999999999</v>
      </c>
      <c r="O205">
        <v>23645800</v>
      </c>
    </row>
    <row r="206" spans="1:15" x14ac:dyDescent="0.3">
      <c r="A206" s="1">
        <v>44124</v>
      </c>
      <c r="B206">
        <v>572.330017</v>
      </c>
      <c r="C206">
        <v>575.69000200000005</v>
      </c>
      <c r="D206">
        <v>534.59002699999996</v>
      </c>
      <c r="E206">
        <v>537.02002000000005</v>
      </c>
      <c r="F206">
        <v>537.02002000000005</v>
      </c>
      <c r="G206">
        <v>12098200</v>
      </c>
      <c r="I206" s="1">
        <v>44124</v>
      </c>
      <c r="J206">
        <v>33.659999999999997</v>
      </c>
      <c r="K206">
        <v>33.93</v>
      </c>
      <c r="L206">
        <v>33.330002</v>
      </c>
      <c r="M206">
        <v>33.700001</v>
      </c>
      <c r="N206">
        <v>31.892004</v>
      </c>
      <c r="O206">
        <v>23040600</v>
      </c>
    </row>
    <row r="207" spans="1:15" x14ac:dyDescent="0.3">
      <c r="A207" s="1">
        <v>44125</v>
      </c>
      <c r="B207">
        <v>535.88000499999998</v>
      </c>
      <c r="C207">
        <v>551.65997300000004</v>
      </c>
      <c r="D207">
        <v>511.77999899999998</v>
      </c>
      <c r="E207">
        <v>513.19000200000005</v>
      </c>
      <c r="F207">
        <v>513.19000200000005</v>
      </c>
      <c r="G207">
        <v>9215400</v>
      </c>
      <c r="I207" s="1">
        <v>44125</v>
      </c>
      <c r="J207">
        <v>33.509998000000003</v>
      </c>
      <c r="K207">
        <v>33.619999</v>
      </c>
      <c r="L207">
        <v>33.139999000000003</v>
      </c>
      <c r="M207">
        <v>33.159999999999997</v>
      </c>
      <c r="N207">
        <v>31.380972</v>
      </c>
      <c r="O207">
        <v>28619300</v>
      </c>
    </row>
    <row r="208" spans="1:15" x14ac:dyDescent="0.3">
      <c r="A208" s="1">
        <v>44126</v>
      </c>
      <c r="B208">
        <v>521.78002900000001</v>
      </c>
      <c r="C208">
        <v>530.42999299999997</v>
      </c>
      <c r="D208">
        <v>503.47000100000002</v>
      </c>
      <c r="E208">
        <v>520.53997800000002</v>
      </c>
      <c r="F208">
        <v>520.53997800000002</v>
      </c>
      <c r="G208">
        <v>8100900</v>
      </c>
      <c r="I208" s="1">
        <v>44126</v>
      </c>
      <c r="J208">
        <v>33.18</v>
      </c>
      <c r="K208">
        <v>34.959999000000003</v>
      </c>
      <c r="L208">
        <v>33.020000000000003</v>
      </c>
      <c r="M208">
        <v>34.860000999999997</v>
      </c>
      <c r="N208">
        <v>32.989769000000003</v>
      </c>
      <c r="O208">
        <v>31831500</v>
      </c>
    </row>
    <row r="209" spans="1:15" x14ac:dyDescent="0.3">
      <c r="A209" s="1">
        <v>44127</v>
      </c>
      <c r="B209">
        <v>522.330017</v>
      </c>
      <c r="C209">
        <v>527</v>
      </c>
      <c r="D209">
        <v>505.41000400000001</v>
      </c>
      <c r="E209">
        <v>511.51998900000001</v>
      </c>
      <c r="F209">
        <v>511.51998900000001</v>
      </c>
      <c r="G209">
        <v>5377100</v>
      </c>
      <c r="I209" s="1">
        <v>44127</v>
      </c>
      <c r="J209">
        <v>34.970001000000003</v>
      </c>
      <c r="K209">
        <v>35.080002</v>
      </c>
      <c r="L209">
        <v>33.860000999999997</v>
      </c>
      <c r="M209">
        <v>34.159999999999997</v>
      </c>
      <c r="N209">
        <v>32.32732</v>
      </c>
      <c r="O209">
        <v>27429100</v>
      </c>
    </row>
    <row r="210" spans="1:15" x14ac:dyDescent="0.3">
      <c r="A210" s="1">
        <v>44130</v>
      </c>
      <c r="B210">
        <v>520.489014</v>
      </c>
      <c r="C210">
        <v>541.10497999999995</v>
      </c>
      <c r="D210">
        <v>510.30999800000001</v>
      </c>
      <c r="E210">
        <v>517.78997800000002</v>
      </c>
      <c r="F210">
        <v>517.78997800000002</v>
      </c>
      <c r="G210">
        <v>10080800</v>
      </c>
      <c r="I210" s="1">
        <v>44130</v>
      </c>
      <c r="J210">
        <v>33.610000999999997</v>
      </c>
      <c r="K210">
        <v>33.770000000000003</v>
      </c>
      <c r="L210">
        <v>32.950001</v>
      </c>
      <c r="M210">
        <v>33.349997999999999</v>
      </c>
      <c r="N210">
        <v>31.560777999999999</v>
      </c>
      <c r="O210">
        <v>30888700</v>
      </c>
    </row>
    <row r="211" spans="1:15" x14ac:dyDescent="0.3">
      <c r="A211" s="1">
        <v>44131</v>
      </c>
      <c r="B211">
        <v>525.21997099999999</v>
      </c>
      <c r="C211">
        <v>540</v>
      </c>
      <c r="D211">
        <v>513.29998799999998</v>
      </c>
      <c r="E211">
        <v>538.98999000000003</v>
      </c>
      <c r="F211">
        <v>538.98999000000003</v>
      </c>
      <c r="G211">
        <v>7227600</v>
      </c>
      <c r="I211" s="1">
        <v>44131</v>
      </c>
      <c r="J211">
        <v>33.150002000000001</v>
      </c>
      <c r="K211">
        <v>33.200001</v>
      </c>
      <c r="L211">
        <v>32.700001</v>
      </c>
      <c r="M211">
        <v>32.82</v>
      </c>
      <c r="N211">
        <v>31.059214000000001</v>
      </c>
      <c r="O211">
        <v>27100700</v>
      </c>
    </row>
    <row r="212" spans="1:15" x14ac:dyDescent="0.3">
      <c r="A212" s="1">
        <v>44132</v>
      </c>
      <c r="B212">
        <v>549.5</v>
      </c>
      <c r="C212">
        <v>553.85900900000001</v>
      </c>
      <c r="D212">
        <v>511.5</v>
      </c>
      <c r="E212">
        <v>516.01000999999997</v>
      </c>
      <c r="F212">
        <v>516.01000999999997</v>
      </c>
      <c r="G212">
        <v>8810100</v>
      </c>
      <c r="I212" s="1">
        <v>44132</v>
      </c>
      <c r="J212">
        <v>32.099997999999999</v>
      </c>
      <c r="K212">
        <v>32.380001</v>
      </c>
      <c r="L212">
        <v>31.52</v>
      </c>
      <c r="M212">
        <v>31.57</v>
      </c>
      <c r="N212">
        <v>29.876277999999999</v>
      </c>
      <c r="O212">
        <v>42136400</v>
      </c>
    </row>
    <row r="213" spans="1:15" x14ac:dyDescent="0.3">
      <c r="A213" s="1">
        <v>44133</v>
      </c>
      <c r="B213">
        <v>521.19000200000005</v>
      </c>
      <c r="C213">
        <v>525.455017</v>
      </c>
      <c r="D213">
        <v>483.5</v>
      </c>
      <c r="E213">
        <v>489.67999300000002</v>
      </c>
      <c r="F213">
        <v>489.67999300000002</v>
      </c>
      <c r="G213">
        <v>9207600</v>
      </c>
      <c r="I213" s="1">
        <v>44133</v>
      </c>
      <c r="J213">
        <v>31.41</v>
      </c>
      <c r="K213">
        <v>33.130001</v>
      </c>
      <c r="L213">
        <v>31.110001</v>
      </c>
      <c r="M213">
        <v>32.970001000000003</v>
      </c>
      <c r="N213">
        <v>31.201166000000001</v>
      </c>
      <c r="O213">
        <v>38622800</v>
      </c>
    </row>
    <row r="214" spans="1:15" x14ac:dyDescent="0.3">
      <c r="A214" s="1">
        <v>44134</v>
      </c>
      <c r="B214">
        <v>481.5</v>
      </c>
      <c r="C214">
        <v>495.95001200000002</v>
      </c>
      <c r="D214">
        <v>457.01998900000001</v>
      </c>
      <c r="E214">
        <v>460.91000400000001</v>
      </c>
      <c r="F214">
        <v>460.91000400000001</v>
      </c>
      <c r="G214">
        <v>8697800</v>
      </c>
      <c r="I214" s="1">
        <v>44134</v>
      </c>
      <c r="J214">
        <v>32.409999999999997</v>
      </c>
      <c r="K214">
        <v>33.139999000000003</v>
      </c>
      <c r="L214">
        <v>32.009998000000003</v>
      </c>
      <c r="M214">
        <v>32.619999</v>
      </c>
      <c r="N214">
        <v>30.869942000000002</v>
      </c>
      <c r="O214">
        <v>47885700</v>
      </c>
    </row>
    <row r="215" spans="1:15" x14ac:dyDescent="0.3">
      <c r="A215" s="1">
        <v>44137</v>
      </c>
      <c r="B215">
        <v>462.290009</v>
      </c>
      <c r="C215">
        <v>477</v>
      </c>
      <c r="D215">
        <v>440</v>
      </c>
      <c r="E215">
        <v>453</v>
      </c>
      <c r="F215">
        <v>453</v>
      </c>
      <c r="G215">
        <v>8051900</v>
      </c>
      <c r="I215" s="1">
        <v>44137</v>
      </c>
      <c r="J215">
        <v>33.139999000000003</v>
      </c>
      <c r="K215">
        <v>34.459999000000003</v>
      </c>
      <c r="L215">
        <v>32.57</v>
      </c>
      <c r="M215">
        <v>33.990001999999997</v>
      </c>
      <c r="N215">
        <v>32.166443000000001</v>
      </c>
      <c r="O215">
        <v>40130300</v>
      </c>
    </row>
    <row r="216" spans="1:15" x14ac:dyDescent="0.3">
      <c r="A216" s="1">
        <v>44138</v>
      </c>
      <c r="B216">
        <v>456.32800300000002</v>
      </c>
      <c r="C216">
        <v>461.88000499999998</v>
      </c>
      <c r="D216">
        <v>445.01001000000002</v>
      </c>
      <c r="E216">
        <v>451.51001000000002</v>
      </c>
      <c r="F216">
        <v>451.51001000000002</v>
      </c>
      <c r="G216">
        <v>6497000</v>
      </c>
      <c r="I216" s="1">
        <v>44138</v>
      </c>
      <c r="J216">
        <v>34.490001999999997</v>
      </c>
      <c r="K216">
        <v>34.490001999999997</v>
      </c>
      <c r="L216">
        <v>33.130001</v>
      </c>
      <c r="M216">
        <v>33.409999999999997</v>
      </c>
      <c r="N216">
        <v>31.617559</v>
      </c>
      <c r="O216">
        <v>36773000</v>
      </c>
    </row>
    <row r="217" spans="1:15" x14ac:dyDescent="0.3">
      <c r="A217" s="1">
        <v>44139</v>
      </c>
      <c r="B217">
        <v>471.92001299999998</v>
      </c>
      <c r="C217">
        <v>484.94000199999999</v>
      </c>
      <c r="D217">
        <v>455.39999399999999</v>
      </c>
      <c r="E217">
        <v>483.70001200000002</v>
      </c>
      <c r="F217">
        <v>483.70001200000002</v>
      </c>
      <c r="G217">
        <v>8048500</v>
      </c>
      <c r="I217" s="1">
        <v>44139</v>
      </c>
      <c r="J217">
        <v>33.270000000000003</v>
      </c>
      <c r="K217">
        <v>34.139999000000003</v>
      </c>
      <c r="L217">
        <v>32.529998999999997</v>
      </c>
      <c r="M217">
        <v>33.229999999999997</v>
      </c>
      <c r="N217">
        <v>31.447216000000001</v>
      </c>
      <c r="O217">
        <v>35410100</v>
      </c>
    </row>
    <row r="218" spans="1:15" x14ac:dyDescent="0.3">
      <c r="A218" s="1">
        <v>44140</v>
      </c>
      <c r="B218">
        <v>497.98998999999998</v>
      </c>
      <c r="C218">
        <v>499.35000600000001</v>
      </c>
      <c r="D218">
        <v>480.760986</v>
      </c>
      <c r="E218">
        <v>496.73001099999999</v>
      </c>
      <c r="F218">
        <v>496.73001099999999</v>
      </c>
      <c r="G218">
        <v>6379900</v>
      </c>
      <c r="I218" s="1">
        <v>44140</v>
      </c>
      <c r="J218">
        <v>33.369999</v>
      </c>
      <c r="K218">
        <v>33.919998</v>
      </c>
      <c r="L218">
        <v>33.139999000000003</v>
      </c>
      <c r="M218">
        <v>33.169998</v>
      </c>
      <c r="N218">
        <v>31.390433999999999</v>
      </c>
      <c r="O218">
        <v>30824100</v>
      </c>
    </row>
    <row r="219" spans="1:15" x14ac:dyDescent="0.3">
      <c r="A219" s="1">
        <v>44141</v>
      </c>
      <c r="B219">
        <v>494.66000400000001</v>
      </c>
      <c r="C219">
        <v>505.88000499999998</v>
      </c>
      <c r="D219">
        <v>482.73001099999999</v>
      </c>
      <c r="E219">
        <v>500.10998499999999</v>
      </c>
      <c r="F219">
        <v>500.10998499999999</v>
      </c>
      <c r="G219">
        <v>4266000</v>
      </c>
      <c r="I219" s="1">
        <v>44141</v>
      </c>
      <c r="J219">
        <v>33.099997999999999</v>
      </c>
      <c r="K219">
        <v>33.659999999999997</v>
      </c>
      <c r="L219">
        <v>32.619999</v>
      </c>
      <c r="M219">
        <v>32.779998999999997</v>
      </c>
      <c r="N219">
        <v>31.021357999999999</v>
      </c>
      <c r="O219">
        <v>33985600</v>
      </c>
    </row>
    <row r="220" spans="1:15" x14ac:dyDescent="0.3">
      <c r="A220" s="1">
        <v>44144</v>
      </c>
      <c r="B220">
        <v>433</v>
      </c>
      <c r="C220">
        <v>446.47000100000002</v>
      </c>
      <c r="D220">
        <v>402</v>
      </c>
      <c r="E220">
        <v>413.23998999999998</v>
      </c>
      <c r="F220">
        <v>413.23998999999998</v>
      </c>
      <c r="G220">
        <v>18033500</v>
      </c>
      <c r="I220" s="1">
        <v>44144</v>
      </c>
      <c r="J220">
        <v>36.419998</v>
      </c>
      <c r="K220">
        <v>38.009998000000003</v>
      </c>
      <c r="L220">
        <v>36.060001</v>
      </c>
      <c r="M220">
        <v>36.93</v>
      </c>
      <c r="N220">
        <v>34.948715</v>
      </c>
      <c r="O220">
        <v>76879400</v>
      </c>
    </row>
    <row r="221" spans="1:15" x14ac:dyDescent="0.3">
      <c r="A221" s="1">
        <v>44145</v>
      </c>
      <c r="B221">
        <v>412.50399800000002</v>
      </c>
      <c r="C221">
        <v>414.45001200000002</v>
      </c>
      <c r="D221">
        <v>366.27999899999998</v>
      </c>
      <c r="E221">
        <v>376.01001000000002</v>
      </c>
      <c r="F221">
        <v>376.01001000000002</v>
      </c>
      <c r="G221">
        <v>20751900</v>
      </c>
      <c r="I221" s="1">
        <v>44145</v>
      </c>
      <c r="J221">
        <v>37.049999</v>
      </c>
      <c r="K221">
        <v>37.43</v>
      </c>
      <c r="L221">
        <v>35.979999999999997</v>
      </c>
      <c r="M221">
        <v>36.860000999999997</v>
      </c>
      <c r="N221">
        <v>35.724060000000001</v>
      </c>
      <c r="O221">
        <v>49055400</v>
      </c>
    </row>
    <row r="222" spans="1:15" x14ac:dyDescent="0.3">
      <c r="A222" s="1">
        <v>44146</v>
      </c>
      <c r="B222">
        <v>391.64999399999999</v>
      </c>
      <c r="C222">
        <v>419.79998799999998</v>
      </c>
      <c r="D222">
        <v>385</v>
      </c>
      <c r="E222">
        <v>413.33999599999999</v>
      </c>
      <c r="F222">
        <v>413.33999599999999</v>
      </c>
      <c r="G222">
        <v>16691100</v>
      </c>
      <c r="I222" s="1">
        <v>44146</v>
      </c>
      <c r="J222">
        <v>37.090000000000003</v>
      </c>
      <c r="K222">
        <v>37.119999</v>
      </c>
      <c r="L222">
        <v>36.189999</v>
      </c>
      <c r="M222">
        <v>36.479999999999997</v>
      </c>
      <c r="N222">
        <v>35.35577</v>
      </c>
      <c r="O222">
        <v>34124500</v>
      </c>
    </row>
    <row r="223" spans="1:15" x14ac:dyDescent="0.3">
      <c r="A223" s="1">
        <v>44147</v>
      </c>
      <c r="B223">
        <v>427.85000600000001</v>
      </c>
      <c r="C223">
        <v>435.75</v>
      </c>
      <c r="D223">
        <v>419.60998499999999</v>
      </c>
      <c r="E223">
        <v>428.64001500000001</v>
      </c>
      <c r="F223">
        <v>428.64001500000001</v>
      </c>
      <c r="G223">
        <v>14910000</v>
      </c>
      <c r="I223" s="1">
        <v>44147</v>
      </c>
      <c r="J223">
        <v>35.860000999999997</v>
      </c>
      <c r="K223">
        <v>36.290000999999997</v>
      </c>
      <c r="L223">
        <v>34.869999</v>
      </c>
      <c r="M223">
        <v>35.229999999999997</v>
      </c>
      <c r="N223">
        <v>34.144291000000003</v>
      </c>
      <c r="O223">
        <v>30933700</v>
      </c>
    </row>
    <row r="224" spans="1:15" x14ac:dyDescent="0.3">
      <c r="A224" s="1">
        <v>44148</v>
      </c>
      <c r="B224">
        <v>425.98998999999998</v>
      </c>
      <c r="C224">
        <v>428.46899400000001</v>
      </c>
      <c r="D224">
        <v>396.86999500000002</v>
      </c>
      <c r="E224">
        <v>403.57998700000002</v>
      </c>
      <c r="F224">
        <v>403.57998700000002</v>
      </c>
      <c r="G224">
        <v>11732200</v>
      </c>
      <c r="I224" s="1">
        <v>44148</v>
      </c>
      <c r="J224">
        <v>35.400002000000001</v>
      </c>
      <c r="K224">
        <v>36.25</v>
      </c>
      <c r="L224">
        <v>35.380001</v>
      </c>
      <c r="M224">
        <v>36.080002</v>
      </c>
      <c r="N224">
        <v>34.968097999999998</v>
      </c>
      <c r="O224">
        <v>29241500</v>
      </c>
    </row>
    <row r="225" spans="1:15" x14ac:dyDescent="0.3">
      <c r="A225" s="1">
        <v>44151</v>
      </c>
      <c r="B225">
        <v>382.60000600000001</v>
      </c>
      <c r="C225">
        <v>400.79998799999998</v>
      </c>
      <c r="D225">
        <v>375.10000600000001</v>
      </c>
      <c r="E225">
        <v>399.14999399999999</v>
      </c>
      <c r="F225">
        <v>399.14999399999999</v>
      </c>
      <c r="G225">
        <v>12054400</v>
      </c>
      <c r="I225" s="1">
        <v>44151</v>
      </c>
      <c r="J225">
        <v>37.590000000000003</v>
      </c>
      <c r="K225">
        <v>38.169998</v>
      </c>
      <c r="L225">
        <v>37.099997999999999</v>
      </c>
      <c r="M225">
        <v>38.159999999999997</v>
      </c>
      <c r="N225">
        <v>36.983994000000003</v>
      </c>
      <c r="O225">
        <v>38596800</v>
      </c>
    </row>
    <row r="226" spans="1:15" x14ac:dyDescent="0.3">
      <c r="A226" s="1">
        <v>44152</v>
      </c>
      <c r="B226">
        <v>406.290009</v>
      </c>
      <c r="C226">
        <v>411.5</v>
      </c>
      <c r="D226">
        <v>396.32000699999998</v>
      </c>
      <c r="E226">
        <v>401.63000499999998</v>
      </c>
      <c r="F226">
        <v>401.63000499999998</v>
      </c>
      <c r="G226">
        <v>6972100</v>
      </c>
      <c r="I226" s="1">
        <v>44152</v>
      </c>
      <c r="J226">
        <v>37.810001</v>
      </c>
      <c r="K226">
        <v>38.709999000000003</v>
      </c>
      <c r="L226">
        <v>37.380001</v>
      </c>
      <c r="M226">
        <v>38.669998</v>
      </c>
      <c r="N226">
        <v>37.478279000000001</v>
      </c>
      <c r="O226">
        <v>26521100</v>
      </c>
    </row>
    <row r="227" spans="1:15" x14ac:dyDescent="0.3">
      <c r="A227" s="1">
        <v>44153</v>
      </c>
      <c r="B227">
        <v>399</v>
      </c>
      <c r="C227">
        <v>423.5</v>
      </c>
      <c r="D227">
        <v>390.22000100000002</v>
      </c>
      <c r="E227">
        <v>415.040009</v>
      </c>
      <c r="F227">
        <v>415.040009</v>
      </c>
      <c r="G227">
        <v>10974200</v>
      </c>
      <c r="I227" s="1">
        <v>44153</v>
      </c>
      <c r="J227">
        <v>39.020000000000003</v>
      </c>
      <c r="K227">
        <v>39.130001</v>
      </c>
      <c r="L227">
        <v>37.200001</v>
      </c>
      <c r="M227">
        <v>37.209999000000003</v>
      </c>
      <c r="N227">
        <v>36.063271</v>
      </c>
      <c r="O227">
        <v>31068000</v>
      </c>
    </row>
    <row r="228" spans="1:15" x14ac:dyDescent="0.3">
      <c r="A228" s="1">
        <v>44154</v>
      </c>
      <c r="B228">
        <v>408.98998999999998</v>
      </c>
      <c r="C228">
        <v>427.89001500000001</v>
      </c>
      <c r="D228">
        <v>407.5</v>
      </c>
      <c r="E228">
        <v>414.290009</v>
      </c>
      <c r="F228">
        <v>414.290009</v>
      </c>
      <c r="G228">
        <v>8007000</v>
      </c>
      <c r="I228" s="1">
        <v>44154</v>
      </c>
      <c r="J228">
        <v>36.860000999999997</v>
      </c>
      <c r="K228">
        <v>37.5</v>
      </c>
      <c r="L228">
        <v>36.560001</v>
      </c>
      <c r="M228">
        <v>37.400002000000001</v>
      </c>
      <c r="N228">
        <v>36.247416999999999</v>
      </c>
      <c r="O228">
        <v>26954400</v>
      </c>
    </row>
    <row r="229" spans="1:15" x14ac:dyDescent="0.3">
      <c r="A229" s="1">
        <v>44155</v>
      </c>
      <c r="B229">
        <v>418.54998799999998</v>
      </c>
      <c r="C229">
        <v>445.29998799999998</v>
      </c>
      <c r="D229">
        <v>415.55999800000001</v>
      </c>
      <c r="E229">
        <v>439.60000600000001</v>
      </c>
      <c r="F229">
        <v>439.60000600000001</v>
      </c>
      <c r="G229">
        <v>12586600</v>
      </c>
      <c r="I229" s="1">
        <v>44155</v>
      </c>
      <c r="J229">
        <v>37.349997999999999</v>
      </c>
      <c r="K229">
        <v>37.409999999999997</v>
      </c>
      <c r="L229">
        <v>36.779998999999997</v>
      </c>
      <c r="M229">
        <v>36.939999</v>
      </c>
      <c r="N229">
        <v>35.801594000000001</v>
      </c>
      <c r="O229">
        <v>18351000</v>
      </c>
    </row>
    <row r="230" spans="1:15" x14ac:dyDescent="0.3">
      <c r="A230" s="1">
        <v>44158</v>
      </c>
      <c r="B230">
        <v>432.01001000000002</v>
      </c>
      <c r="C230">
        <v>436.51299999999998</v>
      </c>
      <c r="D230">
        <v>417.88000499999998</v>
      </c>
      <c r="E230">
        <v>430.27999899999998</v>
      </c>
      <c r="F230">
        <v>430.27999899999998</v>
      </c>
      <c r="G230">
        <v>8486000</v>
      </c>
      <c r="I230" s="1">
        <v>44158</v>
      </c>
      <c r="J230">
        <v>37.5</v>
      </c>
      <c r="K230">
        <v>39.43</v>
      </c>
      <c r="L230">
        <v>37.279998999999997</v>
      </c>
      <c r="M230">
        <v>39.360000999999997</v>
      </c>
      <c r="N230">
        <v>38.147015000000003</v>
      </c>
      <c r="O230">
        <v>29367600</v>
      </c>
    </row>
    <row r="231" spans="1:15" x14ac:dyDescent="0.3">
      <c r="A231" s="1">
        <v>44159</v>
      </c>
      <c r="B231">
        <v>421.50500499999998</v>
      </c>
      <c r="C231">
        <v>438.83200099999999</v>
      </c>
      <c r="D231">
        <v>420.01001000000002</v>
      </c>
      <c r="E231">
        <v>427.54998799999998</v>
      </c>
      <c r="F231">
        <v>427.54998799999998</v>
      </c>
      <c r="G231">
        <v>6148400</v>
      </c>
      <c r="I231" s="1">
        <v>44159</v>
      </c>
      <c r="J231">
        <v>40.509998000000003</v>
      </c>
      <c r="K231">
        <v>42.080002</v>
      </c>
      <c r="L231">
        <v>40.220001000000003</v>
      </c>
      <c r="M231">
        <v>41.98</v>
      </c>
      <c r="N231">
        <v>40.686275000000002</v>
      </c>
      <c r="O231">
        <v>46979300</v>
      </c>
    </row>
    <row r="232" spans="1:15" x14ac:dyDescent="0.3">
      <c r="A232" s="1">
        <v>44160</v>
      </c>
      <c r="B232">
        <v>435.85000600000001</v>
      </c>
      <c r="C232">
        <v>448.48001099999999</v>
      </c>
      <c r="D232">
        <v>433.32998700000002</v>
      </c>
      <c r="E232">
        <v>443.72000100000002</v>
      </c>
      <c r="F232">
        <v>443.72000100000002</v>
      </c>
      <c r="G232">
        <v>8763700</v>
      </c>
      <c r="I232" s="1">
        <v>44160</v>
      </c>
      <c r="J232">
        <v>41.669998</v>
      </c>
      <c r="K232">
        <v>41.709999000000003</v>
      </c>
      <c r="L232">
        <v>40.650002000000001</v>
      </c>
      <c r="M232">
        <v>40.810001</v>
      </c>
      <c r="N232">
        <v>39.552329999999998</v>
      </c>
      <c r="O232">
        <v>28178200</v>
      </c>
    </row>
    <row r="233" spans="1:15" x14ac:dyDescent="0.3">
      <c r="A233" s="1">
        <v>44162</v>
      </c>
      <c r="B233">
        <v>453.98998999999998</v>
      </c>
      <c r="C233">
        <v>472.040009</v>
      </c>
      <c r="D233">
        <v>449</v>
      </c>
      <c r="E233">
        <v>471.60998499999999</v>
      </c>
      <c r="F233">
        <v>471.60998499999999</v>
      </c>
      <c r="G233">
        <v>7276400</v>
      </c>
      <c r="I233" s="1">
        <v>44162</v>
      </c>
      <c r="J233">
        <v>40.700001</v>
      </c>
      <c r="K233">
        <v>40.939999</v>
      </c>
      <c r="L233">
        <v>39.869999</v>
      </c>
      <c r="M233">
        <v>40.189999</v>
      </c>
      <c r="N233">
        <v>38.951434999999996</v>
      </c>
      <c r="O233">
        <v>14971900</v>
      </c>
    </row>
    <row r="234" spans="1:15" x14ac:dyDescent="0.3">
      <c r="A234" s="1">
        <v>44165</v>
      </c>
      <c r="B234">
        <v>485.70001200000002</v>
      </c>
      <c r="C234">
        <v>486.82998700000002</v>
      </c>
      <c r="D234">
        <v>460</v>
      </c>
      <c r="E234">
        <v>478.35998499999999</v>
      </c>
      <c r="F234">
        <v>478.35998499999999</v>
      </c>
      <c r="G234">
        <v>16646500</v>
      </c>
      <c r="I234" s="1">
        <v>44165</v>
      </c>
      <c r="J234">
        <v>39.799999</v>
      </c>
      <c r="K234">
        <v>39.880001</v>
      </c>
      <c r="L234">
        <v>37.970001000000003</v>
      </c>
      <c r="M234">
        <v>38.130001</v>
      </c>
      <c r="N234">
        <v>36.954922000000003</v>
      </c>
      <c r="O234">
        <v>45614300</v>
      </c>
    </row>
    <row r="235" spans="1:15" x14ac:dyDescent="0.3">
      <c r="A235" s="1">
        <v>44166</v>
      </c>
      <c r="B235">
        <v>434.72000100000002</v>
      </c>
      <c r="C235">
        <v>434.98998999999998</v>
      </c>
      <c r="D235">
        <v>401.72000100000002</v>
      </c>
      <c r="E235">
        <v>406.30999800000001</v>
      </c>
      <c r="F235">
        <v>406.30999800000001</v>
      </c>
      <c r="G235">
        <v>20837500</v>
      </c>
      <c r="I235" s="1">
        <v>44166</v>
      </c>
      <c r="J235">
        <v>38.959999000000003</v>
      </c>
      <c r="K235">
        <v>39.650002000000001</v>
      </c>
      <c r="L235">
        <v>38.470001000000003</v>
      </c>
      <c r="M235">
        <v>38.5</v>
      </c>
      <c r="N235">
        <v>37.313518999999999</v>
      </c>
      <c r="O235">
        <v>32472900</v>
      </c>
    </row>
    <row r="236" spans="1:15" x14ac:dyDescent="0.3">
      <c r="A236" s="1">
        <v>44167</v>
      </c>
      <c r="B236">
        <v>399</v>
      </c>
      <c r="C236">
        <v>424.54998799999998</v>
      </c>
      <c r="D236">
        <v>394.57000699999998</v>
      </c>
      <c r="E236">
        <v>412.85998499999999</v>
      </c>
      <c r="F236">
        <v>412.85998499999999</v>
      </c>
      <c r="G236">
        <v>10962800</v>
      </c>
      <c r="I236" s="1">
        <v>44167</v>
      </c>
      <c r="J236">
        <v>38.389999000000003</v>
      </c>
      <c r="K236">
        <v>40.419998</v>
      </c>
      <c r="L236">
        <v>38.340000000000003</v>
      </c>
      <c r="M236">
        <v>39.939999</v>
      </c>
      <c r="N236">
        <v>38.709141000000002</v>
      </c>
      <c r="O236">
        <v>29369500</v>
      </c>
    </row>
    <row r="237" spans="1:15" x14ac:dyDescent="0.3">
      <c r="A237" s="1">
        <v>44168</v>
      </c>
      <c r="B237">
        <v>413</v>
      </c>
      <c r="C237">
        <v>419.17001299999998</v>
      </c>
      <c r="D237">
        <v>405.01998900000001</v>
      </c>
      <c r="E237">
        <v>413.540009</v>
      </c>
      <c r="F237">
        <v>413.540009</v>
      </c>
      <c r="G237">
        <v>6306700</v>
      </c>
      <c r="I237" s="1">
        <v>44168</v>
      </c>
      <c r="J237">
        <v>40.07</v>
      </c>
      <c r="K237">
        <v>40.639999000000003</v>
      </c>
      <c r="L237">
        <v>39.729999999999997</v>
      </c>
      <c r="M237">
        <v>40.209999000000003</v>
      </c>
      <c r="N237">
        <v>38.970821000000001</v>
      </c>
      <c r="O237">
        <v>27038900</v>
      </c>
    </row>
    <row r="238" spans="1:15" x14ac:dyDescent="0.3">
      <c r="A238" s="1">
        <v>44169</v>
      </c>
      <c r="B238">
        <v>409.26001000000002</v>
      </c>
      <c r="C238">
        <v>418.88000499999998</v>
      </c>
      <c r="D238">
        <v>408.18600500000002</v>
      </c>
      <c r="E238">
        <v>410.01001000000002</v>
      </c>
      <c r="F238">
        <v>410.01001000000002</v>
      </c>
      <c r="G238">
        <v>4447300</v>
      </c>
      <c r="I238" s="1">
        <v>44169</v>
      </c>
      <c r="J238">
        <v>40.770000000000003</v>
      </c>
      <c r="K238">
        <v>41.759998000000003</v>
      </c>
      <c r="L238">
        <v>40.650002000000001</v>
      </c>
      <c r="M238">
        <v>41.68</v>
      </c>
      <c r="N238">
        <v>40.395519</v>
      </c>
      <c r="O238">
        <v>28723600</v>
      </c>
    </row>
    <row r="239" spans="1:15" x14ac:dyDescent="0.3">
      <c r="A239" s="1">
        <v>44172</v>
      </c>
      <c r="B239">
        <v>411</v>
      </c>
      <c r="C239">
        <v>416.79998799999998</v>
      </c>
      <c r="D239">
        <v>405.45400999999998</v>
      </c>
      <c r="E239">
        <v>407.85000600000001</v>
      </c>
      <c r="F239">
        <v>407.85000600000001</v>
      </c>
      <c r="G239">
        <v>4427300</v>
      </c>
      <c r="I239" s="1">
        <v>44172</v>
      </c>
      <c r="J239">
        <v>41.419998</v>
      </c>
      <c r="K239">
        <v>41.540000999999997</v>
      </c>
      <c r="L239">
        <v>40.669998</v>
      </c>
      <c r="M239">
        <v>40.900002000000001</v>
      </c>
      <c r="N239">
        <v>39.639557000000003</v>
      </c>
      <c r="O239">
        <v>24899400</v>
      </c>
    </row>
    <row r="240" spans="1:15" x14ac:dyDescent="0.3">
      <c r="A240" s="1">
        <v>44173</v>
      </c>
      <c r="B240">
        <v>408.86999500000002</v>
      </c>
      <c r="C240">
        <v>419.5</v>
      </c>
      <c r="D240">
        <v>406.75</v>
      </c>
      <c r="E240">
        <v>412</v>
      </c>
      <c r="F240">
        <v>412</v>
      </c>
      <c r="G240">
        <v>5319400</v>
      </c>
      <c r="I240" s="1">
        <v>44173</v>
      </c>
      <c r="J240">
        <v>40.529998999999997</v>
      </c>
      <c r="K240">
        <v>42.59</v>
      </c>
      <c r="L240">
        <v>40.439999</v>
      </c>
      <c r="M240">
        <v>42.240001999999997</v>
      </c>
      <c r="N240">
        <v>40.938259000000002</v>
      </c>
      <c r="O240">
        <v>32573800</v>
      </c>
    </row>
    <row r="241" spans="1:15" x14ac:dyDescent="0.3">
      <c r="A241" s="1">
        <v>44174</v>
      </c>
      <c r="B241">
        <v>406.74798600000003</v>
      </c>
      <c r="C241">
        <v>409.98998999999998</v>
      </c>
      <c r="D241">
        <v>381.5</v>
      </c>
      <c r="E241">
        <v>385.35998499999999</v>
      </c>
      <c r="F241">
        <v>385.35998499999999</v>
      </c>
      <c r="G241">
        <v>8956700</v>
      </c>
      <c r="I241" s="1">
        <v>44174</v>
      </c>
      <c r="J241">
        <v>42.709999000000003</v>
      </c>
      <c r="K241">
        <v>43.73</v>
      </c>
      <c r="L241">
        <v>42.380001</v>
      </c>
      <c r="M241">
        <v>42.799999</v>
      </c>
      <c r="N241">
        <v>41.481003000000001</v>
      </c>
      <c r="O241">
        <v>37824800</v>
      </c>
    </row>
    <row r="242" spans="1:15" x14ac:dyDescent="0.3">
      <c r="A242" s="1">
        <v>44175</v>
      </c>
      <c r="B242">
        <v>382.73001099999999</v>
      </c>
      <c r="C242">
        <v>399</v>
      </c>
      <c r="D242">
        <v>380.26998900000001</v>
      </c>
      <c r="E242">
        <v>397.959991</v>
      </c>
      <c r="F242">
        <v>397.959991</v>
      </c>
      <c r="G242">
        <v>4572100</v>
      </c>
      <c r="I242" s="1">
        <v>44175</v>
      </c>
      <c r="J242">
        <v>43.200001</v>
      </c>
      <c r="K242">
        <v>44.470001000000003</v>
      </c>
      <c r="L242">
        <v>42.759998000000003</v>
      </c>
      <c r="M242">
        <v>44.009998000000003</v>
      </c>
      <c r="N242">
        <v>42.653708999999999</v>
      </c>
      <c r="O242">
        <v>38058700</v>
      </c>
    </row>
    <row r="243" spans="1:15" x14ac:dyDescent="0.3">
      <c r="A243" s="1">
        <v>44176</v>
      </c>
      <c r="B243">
        <v>395.35000600000001</v>
      </c>
      <c r="C243">
        <v>397.33898900000003</v>
      </c>
      <c r="D243">
        <v>384.614014</v>
      </c>
      <c r="E243">
        <v>397.01001000000002</v>
      </c>
      <c r="F243">
        <v>397.01001000000002</v>
      </c>
      <c r="G243">
        <v>4677400</v>
      </c>
      <c r="I243" s="1">
        <v>44176</v>
      </c>
      <c r="J243">
        <v>43.700001</v>
      </c>
      <c r="K243">
        <v>43.93</v>
      </c>
      <c r="L243">
        <v>43.209999000000003</v>
      </c>
      <c r="M243">
        <v>43.799999</v>
      </c>
      <c r="N243">
        <v>42.450184</v>
      </c>
      <c r="O243">
        <v>25478800</v>
      </c>
    </row>
    <row r="244" spans="1:15" x14ac:dyDescent="0.3">
      <c r="A244" s="1">
        <v>44179</v>
      </c>
      <c r="B244">
        <v>388.95001200000002</v>
      </c>
      <c r="C244">
        <v>396.75</v>
      </c>
      <c r="D244">
        <v>376.67999300000002</v>
      </c>
      <c r="E244">
        <v>395.98998999999998</v>
      </c>
      <c r="F244">
        <v>395.98998999999998</v>
      </c>
      <c r="G244">
        <v>6820100</v>
      </c>
      <c r="I244" s="1">
        <v>44179</v>
      </c>
      <c r="J244">
        <v>44.34</v>
      </c>
      <c r="K244">
        <v>44.459999000000003</v>
      </c>
      <c r="L244">
        <v>42.18</v>
      </c>
      <c r="M244">
        <v>42.220001000000003</v>
      </c>
      <c r="N244">
        <v>40.918877000000002</v>
      </c>
      <c r="O244">
        <v>30595000</v>
      </c>
    </row>
    <row r="245" spans="1:15" x14ac:dyDescent="0.3">
      <c r="A245" s="1">
        <v>44180</v>
      </c>
      <c r="B245">
        <v>398.50500499999998</v>
      </c>
      <c r="C245">
        <v>410.32000699999998</v>
      </c>
      <c r="D245">
        <v>395.07998700000002</v>
      </c>
      <c r="E245">
        <v>399.42999300000002</v>
      </c>
      <c r="F245">
        <v>399.42999300000002</v>
      </c>
      <c r="G245">
        <v>5144700</v>
      </c>
      <c r="I245" s="1">
        <v>44180</v>
      </c>
      <c r="J245">
        <v>42.439999</v>
      </c>
      <c r="K245">
        <v>43.220001000000003</v>
      </c>
      <c r="L245">
        <v>42.060001</v>
      </c>
      <c r="M245">
        <v>43.040000999999997</v>
      </c>
      <c r="N245">
        <v>41.713603999999997</v>
      </c>
      <c r="O245">
        <v>27138400</v>
      </c>
    </row>
    <row r="246" spans="1:15" x14ac:dyDescent="0.3">
      <c r="A246" s="1">
        <v>44181</v>
      </c>
      <c r="B246">
        <v>400.48599200000001</v>
      </c>
      <c r="C246">
        <v>406.55801400000001</v>
      </c>
      <c r="D246">
        <v>393.459991</v>
      </c>
      <c r="E246">
        <v>404</v>
      </c>
      <c r="F246">
        <v>404</v>
      </c>
      <c r="G246">
        <v>4158500</v>
      </c>
      <c r="I246" s="1">
        <v>44181</v>
      </c>
      <c r="J246">
        <v>43.75</v>
      </c>
      <c r="K246">
        <v>44.110000999999997</v>
      </c>
      <c r="L246">
        <v>42.959999000000003</v>
      </c>
      <c r="M246">
        <v>43.700001</v>
      </c>
      <c r="N246">
        <v>42.353268</v>
      </c>
      <c r="O246">
        <v>34273000</v>
      </c>
    </row>
    <row r="247" spans="1:15" x14ac:dyDescent="0.3">
      <c r="A247" s="1">
        <v>44182</v>
      </c>
      <c r="B247">
        <v>408.72000100000002</v>
      </c>
      <c r="C247">
        <v>409.02999899999998</v>
      </c>
      <c r="D247">
        <v>399.55999800000001</v>
      </c>
      <c r="E247">
        <v>401.61999500000002</v>
      </c>
      <c r="F247">
        <v>401.61999500000002</v>
      </c>
      <c r="G247">
        <v>3792500</v>
      </c>
      <c r="I247" s="1">
        <v>44182</v>
      </c>
      <c r="J247">
        <v>44</v>
      </c>
      <c r="K247">
        <v>44.040000999999997</v>
      </c>
      <c r="L247">
        <v>43.400002000000001</v>
      </c>
      <c r="M247">
        <v>43.48</v>
      </c>
      <c r="N247">
        <v>42.140045000000001</v>
      </c>
      <c r="O247">
        <v>21204600</v>
      </c>
    </row>
    <row r="248" spans="1:15" x14ac:dyDescent="0.3">
      <c r="A248" s="1">
        <v>44183</v>
      </c>
      <c r="B248">
        <v>403.79998799999998</v>
      </c>
      <c r="C248">
        <v>408.10998499999999</v>
      </c>
      <c r="D248">
        <v>398.25</v>
      </c>
      <c r="E248">
        <v>406.01001000000002</v>
      </c>
      <c r="F248">
        <v>406.01001000000002</v>
      </c>
      <c r="G248">
        <v>6174800</v>
      </c>
      <c r="I248" s="1">
        <v>44183</v>
      </c>
      <c r="J248">
        <v>43.27</v>
      </c>
      <c r="K248">
        <v>43.779998999999997</v>
      </c>
      <c r="L248">
        <v>42.419998</v>
      </c>
      <c r="M248">
        <v>42.73</v>
      </c>
      <c r="N248">
        <v>41.413158000000003</v>
      </c>
      <c r="O248">
        <v>46596800</v>
      </c>
    </row>
    <row r="249" spans="1:15" x14ac:dyDescent="0.3">
      <c r="A249" s="1">
        <v>44186</v>
      </c>
      <c r="B249">
        <v>418.07000699999998</v>
      </c>
      <c r="C249">
        <v>427.75900300000001</v>
      </c>
      <c r="D249">
        <v>404.57998700000002</v>
      </c>
      <c r="E249">
        <v>408.97000100000002</v>
      </c>
      <c r="F249">
        <v>408.97000100000002</v>
      </c>
      <c r="G249">
        <v>8557400</v>
      </c>
      <c r="I249" s="1">
        <v>44186</v>
      </c>
      <c r="J249">
        <v>41.110000999999997</v>
      </c>
      <c r="K249">
        <v>42.080002</v>
      </c>
      <c r="L249">
        <v>40.529998999999997</v>
      </c>
      <c r="M249">
        <v>41.950001</v>
      </c>
      <c r="N249">
        <v>40.657200000000003</v>
      </c>
      <c r="O249">
        <v>27869500</v>
      </c>
    </row>
    <row r="250" spans="1:15" x14ac:dyDescent="0.3">
      <c r="A250" s="1">
        <v>44187</v>
      </c>
      <c r="B250">
        <v>408.5</v>
      </c>
      <c r="C250">
        <v>413.5</v>
      </c>
      <c r="D250">
        <v>396.5</v>
      </c>
      <c r="E250">
        <v>409</v>
      </c>
      <c r="F250">
        <v>409</v>
      </c>
      <c r="G250">
        <v>4211000</v>
      </c>
      <c r="I250" s="1">
        <v>44187</v>
      </c>
      <c r="J250">
        <v>41.580002</v>
      </c>
      <c r="K250">
        <v>41.900002000000001</v>
      </c>
      <c r="L250">
        <v>41.23</v>
      </c>
      <c r="M250">
        <v>41.240001999999997</v>
      </c>
      <c r="N250">
        <v>39.969082</v>
      </c>
      <c r="O250">
        <v>21792900</v>
      </c>
    </row>
    <row r="251" spans="1:15" x14ac:dyDescent="0.3">
      <c r="A251" s="1">
        <v>44188</v>
      </c>
      <c r="B251">
        <v>402</v>
      </c>
      <c r="C251">
        <v>402.60000600000001</v>
      </c>
      <c r="D251">
        <v>378.57998700000002</v>
      </c>
      <c r="E251">
        <v>383.88000499999998</v>
      </c>
      <c r="F251">
        <v>383.88000499999998</v>
      </c>
      <c r="G251">
        <v>9554400</v>
      </c>
      <c r="I251" s="1">
        <v>44188</v>
      </c>
      <c r="J251">
        <v>41.509998000000003</v>
      </c>
      <c r="K251">
        <v>42.389999000000003</v>
      </c>
      <c r="L251">
        <v>41.459999000000003</v>
      </c>
      <c r="M251">
        <v>41.77</v>
      </c>
      <c r="N251">
        <v>40.482745999999999</v>
      </c>
      <c r="O251">
        <v>19085900</v>
      </c>
    </row>
    <row r="252" spans="1:15" x14ac:dyDescent="0.3">
      <c r="A252" s="1">
        <v>44189</v>
      </c>
      <c r="B252">
        <v>383.88000499999998</v>
      </c>
      <c r="C252">
        <v>384.88000499999998</v>
      </c>
      <c r="D252">
        <v>375</v>
      </c>
      <c r="E252">
        <v>375.17001299999998</v>
      </c>
      <c r="F252">
        <v>375.17001299999998</v>
      </c>
      <c r="G252">
        <v>3850700</v>
      </c>
      <c r="I252" s="1">
        <v>44189</v>
      </c>
      <c r="J252">
        <v>41.650002000000001</v>
      </c>
      <c r="K252">
        <v>41.849997999999999</v>
      </c>
      <c r="L252">
        <v>41.380001</v>
      </c>
      <c r="M252">
        <v>41.599997999999999</v>
      </c>
      <c r="N252">
        <v>40.317982000000001</v>
      </c>
      <c r="O252">
        <v>8039000</v>
      </c>
    </row>
    <row r="253" spans="1:15" x14ac:dyDescent="0.3">
      <c r="A253" s="1">
        <v>44193</v>
      </c>
      <c r="B253">
        <v>370.39999399999999</v>
      </c>
      <c r="C253">
        <v>373.27999899999998</v>
      </c>
      <c r="D253">
        <v>349.01998900000001</v>
      </c>
      <c r="E253">
        <v>351.39001500000001</v>
      </c>
      <c r="F253">
        <v>351.39001500000001</v>
      </c>
      <c r="G253">
        <v>9454800</v>
      </c>
      <c r="I253" s="1">
        <v>44193</v>
      </c>
      <c r="J253">
        <v>41.689999</v>
      </c>
      <c r="K253">
        <v>42.549999</v>
      </c>
      <c r="L253">
        <v>41.52</v>
      </c>
      <c r="M253">
        <v>41.740001999999997</v>
      </c>
      <c r="N253">
        <v>40.453671</v>
      </c>
      <c r="O253">
        <v>23877500</v>
      </c>
    </row>
    <row r="254" spans="1:15" x14ac:dyDescent="0.3">
      <c r="A254" s="1">
        <v>44194</v>
      </c>
      <c r="B254">
        <v>350.66000400000001</v>
      </c>
      <c r="C254">
        <v>359.90701300000001</v>
      </c>
      <c r="D254">
        <v>350.13000499999998</v>
      </c>
      <c r="E254">
        <v>353.75</v>
      </c>
      <c r="F254">
        <v>353.75</v>
      </c>
      <c r="G254">
        <v>6080300</v>
      </c>
      <c r="I254" s="1">
        <v>44194</v>
      </c>
      <c r="J254">
        <v>42.040000999999997</v>
      </c>
      <c r="K254">
        <v>42.119999</v>
      </c>
      <c r="L254">
        <v>41.200001</v>
      </c>
      <c r="M254">
        <v>41.27</v>
      </c>
      <c r="N254">
        <v>39.998157999999997</v>
      </c>
      <c r="O254">
        <v>20287700</v>
      </c>
    </row>
    <row r="255" spans="1:15" x14ac:dyDescent="0.3">
      <c r="A255" s="1">
        <v>44195</v>
      </c>
      <c r="B255">
        <v>358.42001299999998</v>
      </c>
      <c r="C255">
        <v>358.70001200000002</v>
      </c>
      <c r="D255">
        <v>345.39999399999999</v>
      </c>
      <c r="E255">
        <v>353.39999399999999</v>
      </c>
      <c r="F255">
        <v>353.39999399999999</v>
      </c>
      <c r="G255">
        <v>5474500</v>
      </c>
      <c r="I255" s="1">
        <v>44195</v>
      </c>
      <c r="J255">
        <v>41.330002</v>
      </c>
      <c r="K255">
        <v>42.419998</v>
      </c>
      <c r="L255">
        <v>41.27</v>
      </c>
      <c r="M255">
        <v>41.599997999999999</v>
      </c>
      <c r="N255">
        <v>40.317982000000001</v>
      </c>
      <c r="O255">
        <v>23807300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68"/>
  <sheetViews>
    <sheetView topLeftCell="A249" zoomScale="120" zoomScaleNormal="120" workbookViewId="0">
      <selection activeCell="Q257" sqref="Q257"/>
    </sheetView>
  </sheetViews>
  <sheetFormatPr defaultRowHeight="14.4" x14ac:dyDescent="0.3"/>
  <cols>
    <col min="1" max="1" width="11.5546875" customWidth="1"/>
    <col min="5" max="8" width="9.88671875" customWidth="1"/>
    <col min="17" max="17" width="10.6640625" bestFit="1" customWidth="1"/>
    <col min="23" max="23" width="12" bestFit="1" customWidth="1"/>
  </cols>
  <sheetData>
    <row r="1" spans="1:27" x14ac:dyDescent="0.3">
      <c r="A1" t="s">
        <v>10</v>
      </c>
    </row>
    <row r="2" spans="1:27" x14ac:dyDescent="0.3">
      <c r="Q2" t="s">
        <v>16</v>
      </c>
    </row>
    <row r="3" spans="1:27" x14ac:dyDescent="0.3">
      <c r="F3" t="s">
        <v>16</v>
      </c>
      <c r="M3" t="s">
        <v>16</v>
      </c>
      <c r="Q3" t="s">
        <v>26</v>
      </c>
      <c r="T3" t="s">
        <v>22</v>
      </c>
      <c r="Y3" t="s">
        <v>27</v>
      </c>
    </row>
    <row r="4" spans="1:27" x14ac:dyDescent="0.3">
      <c r="B4" t="s">
        <v>7</v>
      </c>
      <c r="E4" t="s">
        <v>13</v>
      </c>
      <c r="F4" t="s">
        <v>15</v>
      </c>
      <c r="G4" t="s">
        <v>14</v>
      </c>
      <c r="I4" t="s">
        <v>9</v>
      </c>
      <c r="M4" t="s">
        <v>15</v>
      </c>
      <c r="N4" t="s">
        <v>14</v>
      </c>
      <c r="P4" t="s">
        <v>12</v>
      </c>
      <c r="Q4" t="s">
        <v>14</v>
      </c>
      <c r="T4" t="s">
        <v>7</v>
      </c>
      <c r="U4" t="s">
        <v>9</v>
      </c>
      <c r="V4" t="s">
        <v>11</v>
      </c>
      <c r="W4" t="s">
        <v>24</v>
      </c>
    </row>
    <row r="5" spans="1:27" x14ac:dyDescent="0.3">
      <c r="A5" t="s">
        <v>0</v>
      </c>
      <c r="B5" t="s">
        <v>1</v>
      </c>
      <c r="C5" t="s">
        <v>4</v>
      </c>
      <c r="D5" t="s">
        <v>5</v>
      </c>
      <c r="E5" t="s">
        <v>11</v>
      </c>
      <c r="F5">
        <v>1</v>
      </c>
      <c r="G5" t="s">
        <v>11</v>
      </c>
      <c r="I5" t="s">
        <v>1</v>
      </c>
      <c r="J5" t="s">
        <v>4</v>
      </c>
      <c r="K5" t="s">
        <v>5</v>
      </c>
      <c r="L5" t="s">
        <v>11</v>
      </c>
      <c r="M5">
        <v>1</v>
      </c>
      <c r="N5" t="s">
        <v>11</v>
      </c>
      <c r="P5">
        <f>F5+M5</f>
        <v>2</v>
      </c>
      <c r="Q5" t="s">
        <v>11</v>
      </c>
      <c r="T5">
        <f>F5/P5</f>
        <v>0.5</v>
      </c>
      <c r="U5">
        <f>M5/P5</f>
        <v>0.5</v>
      </c>
      <c r="V5" t="s">
        <v>23</v>
      </c>
      <c r="W5" t="s">
        <v>25</v>
      </c>
      <c r="Y5" t="s">
        <v>7</v>
      </c>
      <c r="Z5" t="s">
        <v>9</v>
      </c>
      <c r="AA5" t="s">
        <v>16</v>
      </c>
    </row>
    <row r="6" spans="1:27" s="2" customFormat="1" x14ac:dyDescent="0.3">
      <c r="A6" s="3">
        <v>43832</v>
      </c>
      <c r="B6" s="2">
        <v>68.800003000000004</v>
      </c>
      <c r="C6" s="2">
        <v>68.720000999999996</v>
      </c>
      <c r="D6" s="2">
        <v>68.720000999999996</v>
      </c>
      <c r="E6" s="2">
        <f>C6/B6</f>
        <v>0.9988371802832624</v>
      </c>
      <c r="F6" s="2">
        <f>F5*E6</f>
        <v>0.9988371802832624</v>
      </c>
      <c r="G6" s="2">
        <f t="shared" ref="G6:G70" si="0">E6-1</f>
        <v>-1.1628197167375953E-3</v>
      </c>
      <c r="I6" s="2">
        <v>70.239998</v>
      </c>
      <c r="J6" s="2">
        <v>70.900002000000001</v>
      </c>
      <c r="K6" s="2">
        <v>63.633118000000003</v>
      </c>
      <c r="L6" s="2">
        <f>J6/I6</f>
        <v>1.0093964125682351</v>
      </c>
      <c r="M6" s="2">
        <f>M5*L6</f>
        <v>1.0093964125682351</v>
      </c>
      <c r="N6" s="2">
        <f t="shared" ref="N6" si="1">L6-1</f>
        <v>9.3964125682350907E-3</v>
      </c>
      <c r="P6" s="2">
        <f t="shared" ref="P6:P69" si="2">F6+M6</f>
        <v>2.0082335928514974</v>
      </c>
      <c r="Q6" s="2">
        <f>(P6/P5)-1</f>
        <v>4.1167964257486922E-3</v>
      </c>
      <c r="T6" s="2">
        <f t="shared" ref="T6:T69" si="3">F6/P6</f>
        <v>0.49737101492511648</v>
      </c>
      <c r="U6" s="2">
        <f t="shared" ref="U6:U69" si="4">M6/P6</f>
        <v>0.50262898507488352</v>
      </c>
      <c r="V6" s="2">
        <f>T5*G6+U5*N6</f>
        <v>4.1167964257487477E-3</v>
      </c>
      <c r="W6" s="2">
        <f>ABS(V6-Q6)</f>
        <v>5.5511151231257827E-17</v>
      </c>
      <c r="Y6" s="2">
        <f>LN(1+G6)</f>
        <v>-1.1634963161440228E-3</v>
      </c>
      <c r="Z6" s="2">
        <f>LN(1+N6)</f>
        <v>9.3525408937695214E-3</v>
      </c>
      <c r="AA6" s="2">
        <f>LN(1+Q6)</f>
        <v>4.1083456049429232E-3</v>
      </c>
    </row>
    <row r="7" spans="1:27" x14ac:dyDescent="0.3">
      <c r="A7" s="1">
        <v>43833</v>
      </c>
      <c r="B7">
        <v>67.620002999999997</v>
      </c>
      <c r="C7">
        <v>67.279999000000004</v>
      </c>
      <c r="D7">
        <v>67.279999000000004</v>
      </c>
      <c r="E7">
        <f>D7/D6</f>
        <v>0.97904537283112103</v>
      </c>
      <c r="F7">
        <f t="shared" ref="F7:F70" si="5">F6*E7</f>
        <v>0.97790691956801234</v>
      </c>
      <c r="G7">
        <f t="shared" si="0"/>
        <v>-2.095462716887897E-2</v>
      </c>
      <c r="I7">
        <v>71.339995999999999</v>
      </c>
      <c r="J7">
        <v>70.330001999999993</v>
      </c>
      <c r="K7">
        <v>63.121540000000003</v>
      </c>
      <c r="L7">
        <f>K7/K6</f>
        <v>0.99196050710574957</v>
      </c>
      <c r="M7">
        <f t="shared" ref="M7:M70" si="6">M6*L7</f>
        <v>1.0012813772819109</v>
      </c>
      <c r="N7">
        <f t="shared" ref="N7:N70" si="7">L7-1</f>
        <v>-8.0394928942504329E-3</v>
      </c>
      <c r="P7">
        <f t="shared" si="2"/>
        <v>1.9791882968499233</v>
      </c>
      <c r="Q7">
        <f>(P7/P6)-1</f>
        <v>-1.4463106336316534E-2</v>
      </c>
      <c r="T7">
        <f t="shared" si="3"/>
        <v>0.49409493837673218</v>
      </c>
      <c r="U7">
        <f t="shared" si="4"/>
        <v>0.50590506162326787</v>
      </c>
      <c r="V7">
        <f t="shared" ref="V7:V70" si="8">T6*G7+U6*N7</f>
        <v>-1.4463106336316587E-2</v>
      </c>
      <c r="W7">
        <f t="shared" ref="W7:W70" si="9">ABS(V7-Q7)</f>
        <v>5.377642775528102E-17</v>
      </c>
      <c r="Y7">
        <f t="shared" ref="Y7:Y70" si="10">LN(1+G7)</f>
        <v>-2.1177291426369621E-2</v>
      </c>
      <c r="Z7">
        <f t="shared" ref="Z7:Z70" si="11">LN(1+N7)</f>
        <v>-8.0719838750915908E-3</v>
      </c>
      <c r="AA7">
        <f t="shared" ref="AA7:AA70" si="12">LN(1+Q7)</f>
        <v>-1.4568716597260674E-2</v>
      </c>
    </row>
    <row r="8" spans="1:27" x14ac:dyDescent="0.3">
      <c r="A8" s="1">
        <v>43836</v>
      </c>
      <c r="B8">
        <v>66.629997000000003</v>
      </c>
      <c r="C8">
        <v>70.319999999999993</v>
      </c>
      <c r="D8">
        <v>70.319999999999993</v>
      </c>
      <c r="E8">
        <f t="shared" ref="E8:E71" si="13">D8/D7</f>
        <v>1.0451843199343684</v>
      </c>
      <c r="F8">
        <f t="shared" si="5"/>
        <v>1.0220929786878061</v>
      </c>
      <c r="G8">
        <f t="shared" si="0"/>
        <v>4.5184319934368444E-2</v>
      </c>
      <c r="I8">
        <v>70.319999999999993</v>
      </c>
      <c r="J8">
        <v>70.870002999999997</v>
      </c>
      <c r="K8">
        <v>63.606186000000001</v>
      </c>
      <c r="L8">
        <f t="shared" ref="L8:L71" si="14">K8/K7</f>
        <v>1.0076779812406351</v>
      </c>
      <c r="M8">
        <f t="shared" si="6"/>
        <v>1.0089691969132788</v>
      </c>
      <c r="N8">
        <f t="shared" si="7"/>
        <v>7.6779812406351233E-3</v>
      </c>
      <c r="P8">
        <f t="shared" si="2"/>
        <v>2.0310621756010852</v>
      </c>
      <c r="Q8">
        <f t="shared" ref="Q8:Q71" si="15">(P8/P7)-1</f>
        <v>2.6209673346252238E-2</v>
      </c>
      <c r="T8">
        <f t="shared" si="3"/>
        <v>0.50323076810059819</v>
      </c>
      <c r="U8">
        <f t="shared" si="4"/>
        <v>0.4967692318994017</v>
      </c>
      <c r="V8">
        <f t="shared" si="8"/>
        <v>2.6209673346252134E-2</v>
      </c>
      <c r="W8">
        <f t="shared" si="9"/>
        <v>1.0408340855860843E-16</v>
      </c>
      <c r="Y8">
        <f t="shared" si="10"/>
        <v>4.4193252575486924E-2</v>
      </c>
      <c r="Z8">
        <f t="shared" si="11"/>
        <v>7.6486555550592892E-3</v>
      </c>
      <c r="AA8">
        <f t="shared" si="12"/>
        <v>2.5872085856520812E-2</v>
      </c>
    </row>
    <row r="9" spans="1:27" x14ac:dyDescent="0.3">
      <c r="A9" s="1">
        <v>43837</v>
      </c>
      <c r="B9">
        <v>70.290001000000004</v>
      </c>
      <c r="C9">
        <v>71.900002000000001</v>
      </c>
      <c r="D9">
        <v>71.900002000000001</v>
      </c>
      <c r="E9">
        <f t="shared" si="13"/>
        <v>1.0224687428896475</v>
      </c>
      <c r="F9">
        <f t="shared" si="5"/>
        <v>1.0450581230352565</v>
      </c>
      <c r="G9">
        <f t="shared" si="0"/>
        <v>2.2468742889647508E-2</v>
      </c>
      <c r="I9">
        <v>70.5</v>
      </c>
      <c r="J9">
        <v>70.290001000000004</v>
      </c>
      <c r="K9">
        <v>63.085631999999997</v>
      </c>
      <c r="L9">
        <f t="shared" si="14"/>
        <v>0.99181598469054555</v>
      </c>
      <c r="M9">
        <f t="shared" si="6"/>
        <v>1.0007117775589727</v>
      </c>
      <c r="N9">
        <f t="shared" si="7"/>
        <v>-8.184015309454451E-3</v>
      </c>
      <c r="P9">
        <f t="shared" si="2"/>
        <v>2.0457699005942294</v>
      </c>
      <c r="Q9">
        <f t="shared" si="15"/>
        <v>7.2413957434815934E-3</v>
      </c>
      <c r="T9">
        <f t="shared" si="3"/>
        <v>0.51083854676505958</v>
      </c>
      <c r="U9">
        <f t="shared" si="4"/>
        <v>0.48916145323494031</v>
      </c>
      <c r="V9">
        <f t="shared" si="8"/>
        <v>7.2413957434815379E-3</v>
      </c>
      <c r="W9">
        <f t="shared" si="9"/>
        <v>5.5511151231257827E-17</v>
      </c>
      <c r="Y9">
        <f t="shared" si="10"/>
        <v>2.2220039166490922E-2</v>
      </c>
      <c r="Z9">
        <f t="shared" si="11"/>
        <v>-8.2176882082736387E-3</v>
      </c>
      <c r="AA9">
        <f t="shared" si="12"/>
        <v>7.2153027281691437E-3</v>
      </c>
    </row>
    <row r="10" spans="1:27" x14ac:dyDescent="0.3">
      <c r="A10" s="1">
        <v>43838</v>
      </c>
      <c r="B10">
        <v>71.809997999999993</v>
      </c>
      <c r="C10">
        <v>72.550003000000004</v>
      </c>
      <c r="D10">
        <v>72.550003000000004</v>
      </c>
      <c r="E10">
        <f t="shared" si="13"/>
        <v>1.009040347453676</v>
      </c>
      <c r="F10">
        <f t="shared" si="5"/>
        <v>1.0545058115767816</v>
      </c>
      <c r="G10">
        <f t="shared" si="0"/>
        <v>9.0403474536759898E-3</v>
      </c>
      <c r="I10">
        <v>70.110000999999997</v>
      </c>
      <c r="J10">
        <v>69.230002999999996</v>
      </c>
      <c r="K10">
        <v>62.134273999999998</v>
      </c>
      <c r="L10">
        <f t="shared" si="14"/>
        <v>0.98491957725017321</v>
      </c>
      <c r="M10">
        <f t="shared" si="6"/>
        <v>0.98562062090265268</v>
      </c>
      <c r="N10">
        <f t="shared" si="7"/>
        <v>-1.5080422749826794E-2</v>
      </c>
      <c r="P10">
        <f t="shared" si="2"/>
        <v>2.0401264324794344</v>
      </c>
      <c r="Q10">
        <f t="shared" si="15"/>
        <v>-2.7586035522155772E-3</v>
      </c>
      <c r="T10">
        <f t="shared" si="3"/>
        <v>0.51688257883860911</v>
      </c>
      <c r="U10">
        <f t="shared" si="4"/>
        <v>0.48311742116139084</v>
      </c>
      <c r="V10">
        <f t="shared" si="8"/>
        <v>-2.75860355221548E-3</v>
      </c>
      <c r="W10">
        <f t="shared" si="9"/>
        <v>9.7144514654701197E-17</v>
      </c>
      <c r="Y10">
        <f t="shared" si="10"/>
        <v>8.9997281375762354E-3</v>
      </c>
      <c r="Z10">
        <f t="shared" si="11"/>
        <v>-1.5195288605136706E-2</v>
      </c>
      <c r="AA10">
        <f t="shared" si="12"/>
        <v>-2.76241551106417E-3</v>
      </c>
    </row>
    <row r="11" spans="1:27" x14ac:dyDescent="0.3">
      <c r="A11" s="1">
        <v>43839</v>
      </c>
      <c r="B11">
        <v>73.989998</v>
      </c>
      <c r="C11">
        <v>72.620002999999997</v>
      </c>
      <c r="D11">
        <v>72.620002999999997</v>
      </c>
      <c r="E11">
        <f t="shared" si="13"/>
        <v>1.0009648517864291</v>
      </c>
      <c r="F11">
        <f t="shared" si="5"/>
        <v>1.0555232533928813</v>
      </c>
      <c r="G11">
        <f t="shared" si="0"/>
        <v>9.6485178642913283E-4</v>
      </c>
      <c r="I11">
        <v>69.139999000000003</v>
      </c>
      <c r="J11">
        <v>69.760002</v>
      </c>
      <c r="K11">
        <v>62.609959000000003</v>
      </c>
      <c r="L11">
        <f t="shared" si="14"/>
        <v>1.0076557585592778</v>
      </c>
      <c r="M11">
        <f t="shared" si="6"/>
        <v>0.99316629440732884</v>
      </c>
      <c r="N11">
        <f t="shared" si="7"/>
        <v>7.6557585592778032E-3</v>
      </c>
      <c r="P11">
        <f t="shared" si="2"/>
        <v>2.0486895478002101</v>
      </c>
      <c r="Q11">
        <f t="shared" si="15"/>
        <v>4.1973454117589792E-3</v>
      </c>
      <c r="T11">
        <f t="shared" si="3"/>
        <v>0.51521874289164715</v>
      </c>
      <c r="U11">
        <f t="shared" si="4"/>
        <v>0.4847812571083529</v>
      </c>
      <c r="V11">
        <f t="shared" si="8"/>
        <v>4.197345411759066E-3</v>
      </c>
      <c r="W11">
        <f t="shared" si="9"/>
        <v>8.6736173798840355E-17</v>
      </c>
      <c r="Y11">
        <f t="shared" si="10"/>
        <v>9.6438661613379298E-4</v>
      </c>
      <c r="Z11">
        <f t="shared" si="11"/>
        <v>7.6266019557775866E-3</v>
      </c>
      <c r="AA11">
        <f t="shared" si="12"/>
        <v>4.1885611293725625E-3</v>
      </c>
    </row>
    <row r="12" spans="1:27" x14ac:dyDescent="0.3">
      <c r="A12" s="1">
        <v>43840</v>
      </c>
      <c r="B12">
        <v>73.080001999999993</v>
      </c>
      <c r="C12">
        <v>73.089995999999999</v>
      </c>
      <c r="D12">
        <v>73.089995999999999</v>
      </c>
      <c r="E12">
        <f t="shared" si="13"/>
        <v>1.0064719496087049</v>
      </c>
      <c r="F12">
        <f t="shared" si="5"/>
        <v>1.0623545466996562</v>
      </c>
      <c r="G12">
        <f t="shared" si="0"/>
        <v>6.4719496087048967E-3</v>
      </c>
      <c r="I12">
        <v>69.930000000000007</v>
      </c>
      <c r="J12">
        <v>69.139999000000003</v>
      </c>
      <c r="K12">
        <v>62.053500999999997</v>
      </c>
      <c r="L12">
        <f t="shared" si="14"/>
        <v>0.99111230850670251</v>
      </c>
      <c r="M12">
        <f t="shared" si="6"/>
        <v>0.98433933878109503</v>
      </c>
      <c r="N12">
        <f t="shared" si="7"/>
        <v>-8.8876914932974893E-3</v>
      </c>
      <c r="P12">
        <f t="shared" si="2"/>
        <v>2.0466938854807513</v>
      </c>
      <c r="Q12">
        <f t="shared" si="15"/>
        <v>-9.7411651345691297E-4</v>
      </c>
      <c r="T12">
        <f t="shared" si="3"/>
        <v>0.51905883641711181</v>
      </c>
      <c r="U12">
        <f t="shared" si="4"/>
        <v>0.48094116358288819</v>
      </c>
      <c r="V12">
        <f t="shared" si="8"/>
        <v>-9.741165134569468E-4</v>
      </c>
      <c r="W12">
        <f t="shared" si="9"/>
        <v>3.3827107781547738E-17</v>
      </c>
      <c r="Y12">
        <f t="shared" si="10"/>
        <v>6.4510964681274768E-3</v>
      </c>
      <c r="Z12">
        <f t="shared" si="11"/>
        <v>-8.927422610465854E-3</v>
      </c>
      <c r="AA12">
        <f t="shared" si="12"/>
        <v>-9.7459127328710889E-4</v>
      </c>
    </row>
    <row r="13" spans="1:27" x14ac:dyDescent="0.3">
      <c r="A13" s="1">
        <v>43843</v>
      </c>
      <c r="B13">
        <v>73.889999000000003</v>
      </c>
      <c r="C13">
        <v>74.029999000000004</v>
      </c>
      <c r="D13">
        <v>74.029999000000004</v>
      </c>
      <c r="E13">
        <f t="shared" si="13"/>
        <v>1.0128608982274401</v>
      </c>
      <c r="F13">
        <f t="shared" si="5"/>
        <v>1.0760173804062187</v>
      </c>
      <c r="G13">
        <f t="shared" si="0"/>
        <v>1.2860898227440076E-2</v>
      </c>
      <c r="I13">
        <v>69.199996999999996</v>
      </c>
      <c r="J13">
        <v>69.800003000000004</v>
      </c>
      <c r="K13">
        <v>62.645859000000002</v>
      </c>
      <c r="L13">
        <f t="shared" si="14"/>
        <v>1.0095459239278055</v>
      </c>
      <c r="M13">
        <f t="shared" si="6"/>
        <v>0.99373576722824575</v>
      </c>
      <c r="N13">
        <f t="shared" si="7"/>
        <v>9.5459239278055108E-3</v>
      </c>
      <c r="P13">
        <f t="shared" si="2"/>
        <v>2.0697531476344646</v>
      </c>
      <c r="Q13">
        <f t="shared" si="15"/>
        <v>1.1266590630526485E-2</v>
      </c>
      <c r="T13">
        <f t="shared" si="3"/>
        <v>0.51987715618937769</v>
      </c>
      <c r="U13">
        <f t="shared" si="4"/>
        <v>0.4801228438106222</v>
      </c>
      <c r="V13">
        <f t="shared" si="8"/>
        <v>1.1266590630526457E-2</v>
      </c>
      <c r="W13">
        <f t="shared" si="9"/>
        <v>2.7755575615628914E-17</v>
      </c>
      <c r="Y13">
        <f t="shared" si="10"/>
        <v>1.2778899181719639E-2</v>
      </c>
      <c r="Z13">
        <f t="shared" si="11"/>
        <v>9.5006494921589264E-3</v>
      </c>
      <c r="AA13">
        <f t="shared" si="12"/>
        <v>1.120359531831175E-2</v>
      </c>
    </row>
    <row r="14" spans="1:27" x14ac:dyDescent="0.3">
      <c r="A14" s="1">
        <v>43844</v>
      </c>
      <c r="B14">
        <v>74.319999999999993</v>
      </c>
      <c r="C14">
        <v>73.160004000000001</v>
      </c>
      <c r="D14">
        <v>73.160004000000001</v>
      </c>
      <c r="E14">
        <f t="shared" si="13"/>
        <v>0.9882480749459418</v>
      </c>
      <c r="F14">
        <f t="shared" si="5"/>
        <v>1.0633721047948208</v>
      </c>
      <c r="G14">
        <f t="shared" si="0"/>
        <v>-1.1751925054058199E-2</v>
      </c>
      <c r="I14">
        <v>69.379997000000003</v>
      </c>
      <c r="J14">
        <v>69.199996999999996</v>
      </c>
      <c r="K14">
        <v>62.107353000000003</v>
      </c>
      <c r="L14">
        <f t="shared" si="14"/>
        <v>0.99140396494523286</v>
      </c>
      <c r="M14">
        <f t="shared" si="6"/>
        <v>0.98519357973797583</v>
      </c>
      <c r="N14">
        <f t="shared" si="7"/>
        <v>-8.5960350547671371E-3</v>
      </c>
      <c r="P14">
        <f t="shared" si="2"/>
        <v>2.0485656845327966</v>
      </c>
      <c r="Q14">
        <f t="shared" si="15"/>
        <v>-1.0236710172845109E-2</v>
      </c>
      <c r="T14">
        <f t="shared" si="3"/>
        <v>0.5190812834675288</v>
      </c>
      <c r="U14">
        <f t="shared" si="4"/>
        <v>0.4809187165324712</v>
      </c>
      <c r="V14">
        <f t="shared" si="8"/>
        <v>-1.0236710172845071E-2</v>
      </c>
      <c r="W14">
        <f t="shared" si="9"/>
        <v>3.8163916471489756E-17</v>
      </c>
      <c r="Y14">
        <f t="shared" si="10"/>
        <v>-1.1821524749620581E-2</v>
      </c>
      <c r="Z14">
        <f t="shared" si="11"/>
        <v>-8.6331940641078547E-3</v>
      </c>
      <c r="AA14">
        <f t="shared" si="12"/>
        <v>-1.028946562743897E-2</v>
      </c>
    </row>
    <row r="15" spans="1:27" x14ac:dyDescent="0.3">
      <c r="A15" s="1">
        <v>43845</v>
      </c>
      <c r="B15">
        <v>73.279999000000004</v>
      </c>
      <c r="C15">
        <v>76.940002000000007</v>
      </c>
      <c r="D15">
        <v>76.940002000000007</v>
      </c>
      <c r="E15">
        <f t="shared" si="13"/>
        <v>1.0516675477491773</v>
      </c>
      <c r="F15">
        <f t="shared" si="5"/>
        <v>1.1183139337944503</v>
      </c>
      <c r="G15">
        <f t="shared" si="0"/>
        <v>5.1667547749177256E-2</v>
      </c>
      <c r="I15">
        <v>69.199996999999996</v>
      </c>
      <c r="J15">
        <v>69.089995999999999</v>
      </c>
      <c r="K15">
        <v>62.008620999999998</v>
      </c>
      <c r="L15">
        <f t="shared" si="14"/>
        <v>0.99841030095100003</v>
      </c>
      <c r="M15">
        <f t="shared" si="6"/>
        <v>0.98362741844118551</v>
      </c>
      <c r="N15">
        <f t="shared" si="7"/>
        <v>-1.5896990489999707E-3</v>
      </c>
      <c r="P15">
        <f t="shared" si="2"/>
        <v>2.1019413522356358</v>
      </c>
      <c r="Q15">
        <f t="shared" si="15"/>
        <v>2.6055140972944812E-2</v>
      </c>
      <c r="T15">
        <f t="shared" si="3"/>
        <v>0.53203859974732681</v>
      </c>
      <c r="U15">
        <f t="shared" si="4"/>
        <v>0.46796140025267319</v>
      </c>
      <c r="V15">
        <f t="shared" si="8"/>
        <v>2.6055140972944806E-2</v>
      </c>
      <c r="W15">
        <f t="shared" si="9"/>
        <v>6.9388939039072284E-18</v>
      </c>
      <c r="Y15">
        <f t="shared" si="10"/>
        <v>5.0377045121080898E-2</v>
      </c>
      <c r="Z15">
        <f t="shared" si="11"/>
        <v>-1.5909639612641225E-3</v>
      </c>
      <c r="AA15">
        <f t="shared" si="12"/>
        <v>2.5721488942787973E-2</v>
      </c>
    </row>
    <row r="16" spans="1:27" x14ac:dyDescent="0.3">
      <c r="A16" s="1">
        <v>43846</v>
      </c>
      <c r="B16">
        <v>78</v>
      </c>
      <c r="C16">
        <v>76.110000999999997</v>
      </c>
      <c r="D16">
        <v>76.110000999999997</v>
      </c>
      <c r="E16">
        <f t="shared" si="13"/>
        <v>0.98921236056115502</v>
      </c>
      <c r="F16">
        <f t="shared" si="5"/>
        <v>1.1062499662972394</v>
      </c>
      <c r="G16">
        <f t="shared" si="0"/>
        <v>-1.0787639438844976E-2</v>
      </c>
      <c r="I16">
        <v>69.300003000000004</v>
      </c>
      <c r="J16">
        <v>68.819999999999993</v>
      </c>
      <c r="K16">
        <v>61.766292999999997</v>
      </c>
      <c r="L16">
        <f t="shared" si="14"/>
        <v>0.99609202726827295</v>
      </c>
      <c r="M16">
        <f t="shared" si="6"/>
        <v>0.97978342931173823</v>
      </c>
      <c r="N16">
        <f t="shared" si="7"/>
        <v>-3.9079727317270496E-3</v>
      </c>
      <c r="P16">
        <f t="shared" si="2"/>
        <v>2.0860333956089776</v>
      </c>
      <c r="Q16">
        <f t="shared" si="15"/>
        <v>-7.5682209733104466E-3</v>
      </c>
      <c r="T16">
        <f t="shared" si="3"/>
        <v>0.53031268273358145</v>
      </c>
      <c r="U16">
        <f t="shared" si="4"/>
        <v>0.46968731726641855</v>
      </c>
      <c r="V16">
        <f t="shared" si="8"/>
        <v>-7.5682209733103738E-3</v>
      </c>
      <c r="W16">
        <f t="shared" si="9"/>
        <v>7.2858385991025898E-17</v>
      </c>
      <c r="Y16">
        <f t="shared" si="10"/>
        <v>-1.0846247900252081E-2</v>
      </c>
      <c r="Z16">
        <f t="shared" si="11"/>
        <v>-3.915628810169638E-3</v>
      </c>
      <c r="AA16">
        <f t="shared" si="12"/>
        <v>-7.597005280291079E-3</v>
      </c>
    </row>
    <row r="17" spans="1:27" x14ac:dyDescent="0.3">
      <c r="A17" s="1">
        <v>43847</v>
      </c>
      <c r="B17">
        <v>76.660004000000001</v>
      </c>
      <c r="C17">
        <v>75.559997999999993</v>
      </c>
      <c r="D17">
        <v>75.559997999999993</v>
      </c>
      <c r="E17">
        <f t="shared" si="13"/>
        <v>0.99277357781141007</v>
      </c>
      <c r="F17">
        <f t="shared" si="5"/>
        <v>1.0982557369946622</v>
      </c>
      <c r="G17">
        <f t="shared" si="0"/>
        <v>-7.2264221885899316E-3</v>
      </c>
      <c r="I17">
        <v>68.75</v>
      </c>
      <c r="J17">
        <v>68.559997999999993</v>
      </c>
      <c r="K17">
        <v>61.532944000000001</v>
      </c>
      <c r="L17">
        <f t="shared" si="14"/>
        <v>0.99622206564994931</v>
      </c>
      <c r="M17">
        <f t="shared" si="6"/>
        <v>0.9760818718385309</v>
      </c>
      <c r="N17">
        <f t="shared" si="7"/>
        <v>-3.7779343500506934E-3</v>
      </c>
      <c r="P17">
        <f t="shared" si="2"/>
        <v>2.0743376088331931</v>
      </c>
      <c r="Q17">
        <f t="shared" si="15"/>
        <v>-5.6067111870805597E-3</v>
      </c>
      <c r="T17">
        <f t="shared" si="3"/>
        <v>0.52944888639049781</v>
      </c>
      <c r="U17">
        <f t="shared" si="4"/>
        <v>0.47055111360950219</v>
      </c>
      <c r="V17">
        <f t="shared" si="8"/>
        <v>-5.6067111870805666E-3</v>
      </c>
      <c r="W17">
        <f t="shared" si="9"/>
        <v>6.9388939039072284E-18</v>
      </c>
      <c r="Y17">
        <f t="shared" si="10"/>
        <v>-7.2526592539008568E-3</v>
      </c>
      <c r="Z17">
        <f t="shared" si="11"/>
        <v>-3.7850887689951608E-3</v>
      </c>
      <c r="AA17">
        <f t="shared" si="12"/>
        <v>-5.6224877897864392E-3</v>
      </c>
    </row>
    <row r="18" spans="1:27" x14ac:dyDescent="0.3">
      <c r="A18" s="1">
        <v>43851</v>
      </c>
      <c r="B18">
        <v>75.559997999999993</v>
      </c>
      <c r="C18">
        <v>76.730002999999996</v>
      </c>
      <c r="D18">
        <v>76.730002999999996</v>
      </c>
      <c r="E18">
        <f t="shared" si="13"/>
        <v>1.0154844498540088</v>
      </c>
      <c r="F18">
        <f t="shared" si="5"/>
        <v>1.1152616228810335</v>
      </c>
      <c r="G18">
        <f t="shared" si="0"/>
        <v>1.5484449854008764E-2</v>
      </c>
      <c r="I18">
        <v>68.379997000000003</v>
      </c>
      <c r="J18">
        <v>67.580001999999993</v>
      </c>
      <c r="K18">
        <v>60.653396999999998</v>
      </c>
      <c r="L18">
        <f t="shared" si="14"/>
        <v>0.985706079657102</v>
      </c>
      <c r="M18">
        <f t="shared" si="6"/>
        <v>0.96212983531432417</v>
      </c>
      <c r="N18">
        <f t="shared" si="7"/>
        <v>-1.4293920342898003E-2</v>
      </c>
      <c r="P18">
        <f t="shared" si="2"/>
        <v>2.0773914581953576</v>
      </c>
      <c r="Q18">
        <f t="shared" si="15"/>
        <v>1.4722045963782016E-3</v>
      </c>
      <c r="T18">
        <f t="shared" si="3"/>
        <v>0.53685674814984941</v>
      </c>
      <c r="U18">
        <f t="shared" si="4"/>
        <v>0.46314325185015059</v>
      </c>
      <c r="V18">
        <f t="shared" si="8"/>
        <v>1.4722045963782727E-3</v>
      </c>
      <c r="W18">
        <f t="shared" si="9"/>
        <v>7.1123662515049091E-17</v>
      </c>
      <c r="Y18">
        <f t="shared" si="10"/>
        <v>1.5365789123432238E-2</v>
      </c>
      <c r="Z18">
        <f t="shared" si="11"/>
        <v>-1.439706247230119E-2</v>
      </c>
      <c r="AA18">
        <f t="shared" si="12"/>
        <v>1.471121965630454E-3</v>
      </c>
    </row>
    <row r="19" spans="1:27" x14ac:dyDescent="0.3">
      <c r="A19" s="1">
        <v>43852</v>
      </c>
      <c r="B19">
        <v>77.069999999999993</v>
      </c>
      <c r="C19">
        <v>75.540001000000004</v>
      </c>
      <c r="D19">
        <v>75.540001000000004</v>
      </c>
      <c r="E19">
        <f t="shared" si="13"/>
        <v>0.9844910471331535</v>
      </c>
      <c r="F19">
        <f t="shared" si="5"/>
        <v>1.0979650829375689</v>
      </c>
      <c r="G19">
        <f t="shared" si="0"/>
        <v>-1.5508952866846504E-2</v>
      </c>
      <c r="I19">
        <v>67.559997999999993</v>
      </c>
      <c r="J19">
        <v>67.190002000000007</v>
      </c>
      <c r="K19">
        <v>60.303364000000002</v>
      </c>
      <c r="L19">
        <f t="shared" si="14"/>
        <v>0.99422896297135677</v>
      </c>
      <c r="M19">
        <f t="shared" si="6"/>
        <v>0.95657734840836284</v>
      </c>
      <c r="N19">
        <f t="shared" si="7"/>
        <v>-5.7710370286432333E-3</v>
      </c>
      <c r="P19">
        <f t="shared" si="2"/>
        <v>2.054542431345932</v>
      </c>
      <c r="Q19">
        <f t="shared" si="15"/>
        <v>-1.0998902859297721E-2</v>
      </c>
      <c r="T19">
        <f t="shared" si="3"/>
        <v>0.53440857009620935</v>
      </c>
      <c r="U19">
        <f t="shared" si="4"/>
        <v>0.46559142990379054</v>
      </c>
      <c r="V19">
        <f t="shared" si="8"/>
        <v>-1.0998902859297957E-2</v>
      </c>
      <c r="W19">
        <f t="shared" si="9"/>
        <v>2.3592239273284576E-16</v>
      </c>
      <c r="Y19">
        <f t="shared" si="10"/>
        <v>-1.5630474765379002E-2</v>
      </c>
      <c r="Z19">
        <f t="shared" si="11"/>
        <v>-5.7877538093024641E-3</v>
      </c>
      <c r="AA19">
        <f t="shared" si="12"/>
        <v>-1.1059838016559694E-2</v>
      </c>
    </row>
    <row r="20" spans="1:27" x14ac:dyDescent="0.3">
      <c r="A20" s="1">
        <v>43853</v>
      </c>
      <c r="B20">
        <v>75.669998000000007</v>
      </c>
      <c r="C20">
        <v>74.470000999999996</v>
      </c>
      <c r="D20">
        <v>74.470000999999996</v>
      </c>
      <c r="E20">
        <f t="shared" si="13"/>
        <v>0.98583531922378442</v>
      </c>
      <c r="F20">
        <f t="shared" si="5"/>
        <v>1.0824127580343272</v>
      </c>
      <c r="G20">
        <f t="shared" si="0"/>
        <v>-1.4164680776215577E-2</v>
      </c>
      <c r="I20">
        <v>66.709998999999996</v>
      </c>
      <c r="J20">
        <v>66.769997000000004</v>
      </c>
      <c r="K20">
        <v>59.926406999999998</v>
      </c>
      <c r="L20">
        <f t="shared" si="14"/>
        <v>0.99374898886237917</v>
      </c>
      <c r="M20">
        <f t="shared" si="6"/>
        <v>0.95059777274946633</v>
      </c>
      <c r="N20">
        <f t="shared" si="7"/>
        <v>-6.2510111376208322E-3</v>
      </c>
      <c r="P20">
        <f t="shared" si="2"/>
        <v>2.0330105307837938</v>
      </c>
      <c r="Q20">
        <f t="shared" si="15"/>
        <v>-1.0480144013396031E-2</v>
      </c>
      <c r="T20">
        <f t="shared" si="3"/>
        <v>0.53241866760868217</v>
      </c>
      <c r="U20">
        <f t="shared" si="4"/>
        <v>0.46758133239131772</v>
      </c>
      <c r="V20">
        <f t="shared" si="8"/>
        <v>-1.0480144013396035E-2</v>
      </c>
      <c r="W20">
        <f t="shared" si="9"/>
        <v>3.4694469519536142E-18</v>
      </c>
      <c r="Y20">
        <f t="shared" si="10"/>
        <v>-1.4265957371550167E-2</v>
      </c>
      <c r="Z20">
        <f t="shared" si="11"/>
        <v>-6.2706305110899847E-3</v>
      </c>
      <c r="AA20">
        <f t="shared" si="12"/>
        <v>-1.0535447454034369E-2</v>
      </c>
    </row>
    <row r="21" spans="1:27" x14ac:dyDescent="0.3">
      <c r="A21" s="1">
        <v>43854</v>
      </c>
      <c r="B21">
        <v>74.970000999999996</v>
      </c>
      <c r="C21">
        <v>73</v>
      </c>
      <c r="D21">
        <v>73</v>
      </c>
      <c r="E21">
        <f t="shared" si="13"/>
        <v>0.98026049442378826</v>
      </c>
      <c r="F21">
        <f t="shared" si="5"/>
        <v>1.0610464653613458</v>
      </c>
      <c r="G21">
        <f t="shared" si="0"/>
        <v>-1.9739505576211736E-2</v>
      </c>
      <c r="I21">
        <v>66.540001000000004</v>
      </c>
      <c r="J21">
        <v>66.319999999999993</v>
      </c>
      <c r="K21">
        <v>59.522533000000003</v>
      </c>
      <c r="L21">
        <f t="shared" si="14"/>
        <v>0.99326050033335067</v>
      </c>
      <c r="M21">
        <f t="shared" si="6"/>
        <v>0.94419121937690376</v>
      </c>
      <c r="N21">
        <f t="shared" si="7"/>
        <v>-6.739499666649329E-3</v>
      </c>
      <c r="P21">
        <f t="shared" si="2"/>
        <v>2.0052376847382494</v>
      </c>
      <c r="Q21">
        <f t="shared" si="15"/>
        <v>-1.3660945491923759E-2</v>
      </c>
      <c r="T21">
        <f t="shared" si="3"/>
        <v>0.52913750496358136</v>
      </c>
      <c r="U21">
        <f t="shared" si="4"/>
        <v>0.47086249503641875</v>
      </c>
      <c r="V21">
        <f t="shared" si="8"/>
        <v>-1.3660945491923539E-2</v>
      </c>
      <c r="W21">
        <f t="shared" si="9"/>
        <v>2.203098814490545E-16</v>
      </c>
      <c r="Y21">
        <f t="shared" si="10"/>
        <v>-1.9936932002388993E-2</v>
      </c>
      <c r="Z21">
        <f t="shared" si="11"/>
        <v>-6.7623126510351558E-3</v>
      </c>
      <c r="AA21">
        <f t="shared" si="12"/>
        <v>-1.3755114819333865E-2</v>
      </c>
    </row>
    <row r="22" spans="1:27" x14ac:dyDescent="0.3">
      <c r="A22" s="1">
        <v>43857</v>
      </c>
      <c r="B22">
        <v>71.330001999999993</v>
      </c>
      <c r="C22">
        <v>70.440002000000007</v>
      </c>
      <c r="D22">
        <v>70.440002000000007</v>
      </c>
      <c r="E22">
        <f t="shared" si="13"/>
        <v>0.96493153424657541</v>
      </c>
      <c r="F22">
        <f t="shared" si="5"/>
        <v>1.0238371937280293</v>
      </c>
      <c r="G22">
        <f t="shared" si="0"/>
        <v>-3.5068465753424594E-2</v>
      </c>
      <c r="I22">
        <v>65.419998000000007</v>
      </c>
      <c r="J22">
        <v>64.739998</v>
      </c>
      <c r="K22">
        <v>58.104472999999999</v>
      </c>
      <c r="L22">
        <f t="shared" si="14"/>
        <v>0.97617608108176435</v>
      </c>
      <c r="M22">
        <f t="shared" si="6"/>
        <v>0.92169688432315833</v>
      </c>
      <c r="N22">
        <f t="shared" si="7"/>
        <v>-2.3823918918235654E-2</v>
      </c>
      <c r="P22">
        <f t="shared" si="2"/>
        <v>1.9455340780511876</v>
      </c>
      <c r="Q22">
        <f t="shared" si="15"/>
        <v>-2.9773830375053545E-2</v>
      </c>
      <c r="T22">
        <f t="shared" si="3"/>
        <v>0.52624994096921274</v>
      </c>
      <c r="U22">
        <f t="shared" si="4"/>
        <v>0.47375005903078721</v>
      </c>
      <c r="V22">
        <f t="shared" si="8"/>
        <v>-2.9773830375053666E-2</v>
      </c>
      <c r="W22">
        <f t="shared" si="9"/>
        <v>1.214306433183765E-16</v>
      </c>
      <c r="Y22">
        <f t="shared" si="10"/>
        <v>-3.5698129127427529E-2</v>
      </c>
      <c r="Z22">
        <f t="shared" si="11"/>
        <v>-2.4112297896711238E-2</v>
      </c>
      <c r="AA22">
        <f t="shared" si="12"/>
        <v>-3.0226070101539871E-2</v>
      </c>
    </row>
    <row r="23" spans="1:27" x14ac:dyDescent="0.3">
      <c r="A23" s="1">
        <v>43858</v>
      </c>
      <c r="B23">
        <v>71</v>
      </c>
      <c r="C23">
        <v>71.510002</v>
      </c>
      <c r="D23">
        <v>71.510002</v>
      </c>
      <c r="E23">
        <f t="shared" si="13"/>
        <v>1.0151902323909643</v>
      </c>
      <c r="F23">
        <f t="shared" si="5"/>
        <v>1.0393895186312707</v>
      </c>
      <c r="G23">
        <f t="shared" si="0"/>
        <v>1.5190232390964287E-2</v>
      </c>
      <c r="I23">
        <v>65.110000999999997</v>
      </c>
      <c r="J23">
        <v>64.650002000000001</v>
      </c>
      <c r="K23">
        <v>58.023705</v>
      </c>
      <c r="L23">
        <f t="shared" si="14"/>
        <v>0.99860995211160419</v>
      </c>
      <c r="M23">
        <f t="shared" si="6"/>
        <v>0.9204156815153639</v>
      </c>
      <c r="N23">
        <f t="shared" si="7"/>
        <v>-1.3900478883958067E-3</v>
      </c>
      <c r="P23">
        <f t="shared" si="2"/>
        <v>1.9598052001466346</v>
      </c>
      <c r="Q23">
        <f t="shared" si="15"/>
        <v>7.3353236298703273E-3</v>
      </c>
      <c r="T23">
        <f t="shared" si="3"/>
        <v>0.5303534854145211</v>
      </c>
      <c r="U23">
        <f t="shared" si="4"/>
        <v>0.46964651458547896</v>
      </c>
      <c r="V23">
        <f t="shared" si="8"/>
        <v>7.3353236298704452E-3</v>
      </c>
      <c r="W23">
        <f t="shared" si="9"/>
        <v>1.1796119636642288E-16</v>
      </c>
      <c r="Y23">
        <f t="shared" si="10"/>
        <v>1.5076016007456852E-2</v>
      </c>
      <c r="Z23">
        <f t="shared" si="11"/>
        <v>-1.3910149011951056E-3</v>
      </c>
      <c r="AA23">
        <f t="shared" si="12"/>
        <v>7.3085509877698117E-3</v>
      </c>
    </row>
    <row r="24" spans="1:27" x14ac:dyDescent="0.3">
      <c r="A24" s="1">
        <v>43859</v>
      </c>
      <c r="B24">
        <v>72.510002</v>
      </c>
      <c r="C24">
        <v>73.580001999999993</v>
      </c>
      <c r="D24">
        <v>73.580001999999993</v>
      </c>
      <c r="E24">
        <f t="shared" si="13"/>
        <v>1.0289469996099285</v>
      </c>
      <c r="F24">
        <f t="shared" si="5"/>
        <v>1.0694767266216538</v>
      </c>
      <c r="G24">
        <f t="shared" si="0"/>
        <v>2.8946999609928525E-2</v>
      </c>
      <c r="I24">
        <v>65.029999000000004</v>
      </c>
      <c r="J24">
        <v>64.110000999999997</v>
      </c>
      <c r="K24">
        <v>57.539046999999997</v>
      </c>
      <c r="L24">
        <f t="shared" si="14"/>
        <v>0.99164724141624527</v>
      </c>
      <c r="M24">
        <f t="shared" si="6"/>
        <v>0.91272767153096401</v>
      </c>
      <c r="N24">
        <f t="shared" si="7"/>
        <v>-8.3527585837547269E-3</v>
      </c>
      <c r="P24">
        <f t="shared" si="2"/>
        <v>1.9822043981526178</v>
      </c>
      <c r="Q24">
        <f t="shared" si="15"/>
        <v>1.1429298179383984E-2</v>
      </c>
      <c r="T24">
        <f t="shared" si="3"/>
        <v>0.53953907458705508</v>
      </c>
      <c r="U24">
        <f t="shared" si="4"/>
        <v>0.46046092541294498</v>
      </c>
      <c r="V24">
        <f t="shared" si="8"/>
        <v>1.1429298179384026E-2</v>
      </c>
      <c r="W24">
        <f t="shared" si="9"/>
        <v>4.163336342344337E-17</v>
      </c>
      <c r="Y24">
        <f t="shared" si="10"/>
        <v>2.8535948829506497E-2</v>
      </c>
      <c r="Z24">
        <f t="shared" si="11"/>
        <v>-8.3878383501934349E-3</v>
      </c>
      <c r="AA24">
        <f t="shared" si="12"/>
        <v>1.1364477188995907E-2</v>
      </c>
    </row>
    <row r="25" spans="1:27" x14ac:dyDescent="0.3">
      <c r="A25" s="1">
        <v>43860</v>
      </c>
      <c r="B25">
        <v>73.099997999999999</v>
      </c>
      <c r="C25">
        <v>74.540001000000004</v>
      </c>
      <c r="D25">
        <v>74.540001000000004</v>
      </c>
      <c r="E25">
        <f t="shared" si="13"/>
        <v>1.0130470097024462</v>
      </c>
      <c r="F25">
        <f t="shared" si="5"/>
        <v>1.083430199850427</v>
      </c>
      <c r="G25">
        <f t="shared" si="0"/>
        <v>1.3047009702446211E-2</v>
      </c>
      <c r="I25">
        <v>63.779998999999997</v>
      </c>
      <c r="J25">
        <v>64.790001000000004</v>
      </c>
      <c r="K25">
        <v>58.149352999999998</v>
      </c>
      <c r="L25">
        <f t="shared" si="14"/>
        <v>1.0106068145341371</v>
      </c>
      <c r="M25">
        <f t="shared" si="6"/>
        <v>0.92240880466306785</v>
      </c>
      <c r="N25">
        <f t="shared" si="7"/>
        <v>1.0606814534137143E-2</v>
      </c>
      <c r="P25">
        <f t="shared" si="2"/>
        <v>2.0058390045134948</v>
      </c>
      <c r="Q25">
        <f t="shared" si="15"/>
        <v>1.1923395177058538E-2</v>
      </c>
      <c r="T25">
        <f t="shared" si="3"/>
        <v>0.54013816533256964</v>
      </c>
      <c r="U25">
        <f t="shared" si="4"/>
        <v>0.45986183466743036</v>
      </c>
      <c r="V25">
        <f t="shared" si="8"/>
        <v>1.192339517705842E-2</v>
      </c>
      <c r="W25">
        <f t="shared" si="9"/>
        <v>1.1796119636642288E-16</v>
      </c>
      <c r="Y25">
        <f t="shared" si="10"/>
        <v>1.2962630608800998E-2</v>
      </c>
      <c r="Z25">
        <f t="shared" si="11"/>
        <v>1.0550956910662098E-2</v>
      </c>
      <c r="AA25">
        <f t="shared" si="12"/>
        <v>1.1852871534794604E-2</v>
      </c>
    </row>
    <row r="26" spans="1:27" x14ac:dyDescent="0.3">
      <c r="A26" s="1">
        <v>43861</v>
      </c>
      <c r="B26">
        <v>74.269997000000004</v>
      </c>
      <c r="C26">
        <v>76.300003000000004</v>
      </c>
      <c r="D26">
        <v>76.300003000000004</v>
      </c>
      <c r="E26">
        <f t="shared" si="13"/>
        <v>1.0236115102815735</v>
      </c>
      <c r="F26">
        <f t="shared" si="5"/>
        <v>1.1090116231535625</v>
      </c>
      <c r="G26">
        <f t="shared" si="0"/>
        <v>2.3611510281573489E-2</v>
      </c>
      <c r="I26">
        <v>63.200001</v>
      </c>
      <c r="J26">
        <v>62.119999</v>
      </c>
      <c r="K26">
        <v>55.753010000000003</v>
      </c>
      <c r="L26">
        <f t="shared" si="14"/>
        <v>0.95878985962234187</v>
      </c>
      <c r="M26">
        <f t="shared" si="6"/>
        <v>0.88439620833731503</v>
      </c>
      <c r="N26">
        <f t="shared" si="7"/>
        <v>-4.1210140377658133E-2</v>
      </c>
      <c r="P26">
        <f t="shared" si="2"/>
        <v>1.9934078314908774</v>
      </c>
      <c r="Q26">
        <f t="shared" si="15"/>
        <v>-6.1974929167520898E-3</v>
      </c>
      <c r="T26">
        <f t="shared" si="3"/>
        <v>0.5563395536196567</v>
      </c>
      <c r="U26">
        <f t="shared" si="4"/>
        <v>0.44366044638034341</v>
      </c>
      <c r="V26">
        <f t="shared" si="8"/>
        <v>-6.1974929167520117E-3</v>
      </c>
      <c r="W26">
        <f t="shared" si="9"/>
        <v>7.8062556418956319E-17</v>
      </c>
      <c r="Y26">
        <f t="shared" si="10"/>
        <v>2.3337070142162169E-2</v>
      </c>
      <c r="Z26">
        <f t="shared" si="11"/>
        <v>-4.2083352591371054E-2</v>
      </c>
      <c r="AA26">
        <f t="shared" si="12"/>
        <v>-6.2167770929613501E-3</v>
      </c>
    </row>
    <row r="27" spans="1:27" x14ac:dyDescent="0.3">
      <c r="A27" s="1">
        <v>43864</v>
      </c>
      <c r="B27">
        <v>77.690002000000007</v>
      </c>
      <c r="C27">
        <v>87.660004000000001</v>
      </c>
      <c r="D27">
        <v>87.660004000000001</v>
      </c>
      <c r="E27">
        <f t="shared" si="13"/>
        <v>1.1488859836611016</v>
      </c>
      <c r="F27">
        <f t="shared" si="5"/>
        <v>1.2741279095583755</v>
      </c>
      <c r="G27">
        <f t="shared" si="0"/>
        <v>0.14888598366110162</v>
      </c>
      <c r="I27">
        <v>61.380001</v>
      </c>
      <c r="J27">
        <v>60.73</v>
      </c>
      <c r="K27">
        <v>54.505477999999997</v>
      </c>
      <c r="L27">
        <f t="shared" si="14"/>
        <v>0.9776239525005016</v>
      </c>
      <c r="M27">
        <f t="shared" si="6"/>
        <v>0.86460691677118295</v>
      </c>
      <c r="N27">
        <f t="shared" si="7"/>
        <v>-2.2376047499498397E-2</v>
      </c>
      <c r="P27">
        <f t="shared" si="2"/>
        <v>2.1387348263295585</v>
      </c>
      <c r="Q27">
        <f t="shared" si="15"/>
        <v>7.2903794468385463E-2</v>
      </c>
      <c r="T27">
        <f t="shared" si="3"/>
        <v>0.59573907614577959</v>
      </c>
      <c r="U27">
        <f t="shared" si="4"/>
        <v>0.40426092385422041</v>
      </c>
      <c r="V27">
        <f t="shared" si="8"/>
        <v>7.290379446838556E-2</v>
      </c>
      <c r="W27">
        <f t="shared" si="9"/>
        <v>9.7144514654701197E-17</v>
      </c>
      <c r="Y27">
        <f t="shared" si="10"/>
        <v>0.13879276301261834</v>
      </c>
      <c r="Z27">
        <f t="shared" si="11"/>
        <v>-2.2630189534658535E-2</v>
      </c>
      <c r="AA27">
        <f t="shared" si="12"/>
        <v>7.0368799301141011E-2</v>
      </c>
    </row>
    <row r="28" spans="1:27" x14ac:dyDescent="0.3">
      <c r="A28" s="1">
        <v>43865</v>
      </c>
      <c r="B28">
        <v>91.040001000000004</v>
      </c>
      <c r="C28">
        <v>85.790001000000004</v>
      </c>
      <c r="D28">
        <v>85.790001000000004</v>
      </c>
      <c r="E28">
        <f t="shared" si="13"/>
        <v>0.97866754603387884</v>
      </c>
      <c r="F28">
        <f t="shared" si="5"/>
        <v>1.2469476345807713</v>
      </c>
      <c r="G28">
        <f t="shared" si="0"/>
        <v>-2.1332453966121157E-2</v>
      </c>
      <c r="I28">
        <v>61.450001</v>
      </c>
      <c r="J28">
        <v>59.970001000000003</v>
      </c>
      <c r="K28">
        <v>53.82338</v>
      </c>
      <c r="L28">
        <f t="shared" si="14"/>
        <v>0.987485698226516</v>
      </c>
      <c r="M28">
        <f t="shared" si="6"/>
        <v>0.85378696489926675</v>
      </c>
      <c r="N28">
        <f t="shared" si="7"/>
        <v>-1.2514301773484005E-2</v>
      </c>
      <c r="P28">
        <f t="shared" si="2"/>
        <v>2.1007345994800382</v>
      </c>
      <c r="Q28">
        <f t="shared" si="15"/>
        <v>-1.7767619614038499E-2</v>
      </c>
      <c r="T28">
        <f t="shared" si="3"/>
        <v>0.59357694917264114</v>
      </c>
      <c r="U28">
        <f t="shared" si="4"/>
        <v>0.4064230508273588</v>
      </c>
      <c r="V28">
        <f t="shared" si="8"/>
        <v>-1.7767619614038541E-2</v>
      </c>
      <c r="W28">
        <f t="shared" si="9"/>
        <v>4.163336342344337E-17</v>
      </c>
      <c r="Y28">
        <f t="shared" si="10"/>
        <v>-2.1563279380264481E-2</v>
      </c>
      <c r="Z28">
        <f t="shared" si="11"/>
        <v>-1.2593265120328399E-2</v>
      </c>
      <c r="AA28">
        <f t="shared" si="12"/>
        <v>-1.792735871823915E-2</v>
      </c>
    </row>
    <row r="29" spans="1:27" x14ac:dyDescent="0.3">
      <c r="A29" s="1">
        <v>43866</v>
      </c>
      <c r="B29">
        <v>85.769997000000004</v>
      </c>
      <c r="C29">
        <v>86.989998</v>
      </c>
      <c r="D29">
        <v>86.989998</v>
      </c>
      <c r="E29">
        <f t="shared" si="13"/>
        <v>1.0139876091154258</v>
      </c>
      <c r="F29">
        <f t="shared" si="5"/>
        <v>1.2643894506806921</v>
      </c>
      <c r="G29">
        <f t="shared" si="0"/>
        <v>1.3987609115425848E-2</v>
      </c>
      <c r="I29">
        <v>60.75</v>
      </c>
      <c r="J29">
        <v>62.73</v>
      </c>
      <c r="K29">
        <v>56.300494999999998</v>
      </c>
      <c r="L29">
        <f t="shared" si="14"/>
        <v>1.0460230293972619</v>
      </c>
      <c r="M29">
        <f t="shared" si="6"/>
        <v>0.89308082748382467</v>
      </c>
      <c r="N29">
        <f t="shared" si="7"/>
        <v>4.6023029397261883E-2</v>
      </c>
      <c r="P29">
        <f t="shared" si="2"/>
        <v>2.1574702781645168</v>
      </c>
      <c r="Q29">
        <f t="shared" si="15"/>
        <v>2.7007542360906189E-2</v>
      </c>
      <c r="T29">
        <f t="shared" si="3"/>
        <v>0.58605185131745152</v>
      </c>
      <c r="U29">
        <f t="shared" si="4"/>
        <v>0.41394814868254853</v>
      </c>
      <c r="V29">
        <f t="shared" si="8"/>
        <v>2.7007542360906297E-2</v>
      </c>
      <c r="W29">
        <f t="shared" si="9"/>
        <v>1.0755285551056204E-16</v>
      </c>
      <c r="Y29">
        <f t="shared" si="10"/>
        <v>1.3890685287056628E-2</v>
      </c>
      <c r="Z29">
        <f t="shared" si="11"/>
        <v>4.4995382032550199E-2</v>
      </c>
      <c r="AA29">
        <f t="shared" si="12"/>
        <v>2.6649274990443093E-2</v>
      </c>
    </row>
    <row r="30" spans="1:27" x14ac:dyDescent="0.3">
      <c r="A30" s="1">
        <v>43867</v>
      </c>
      <c r="B30">
        <v>87</v>
      </c>
      <c r="C30">
        <v>87.260002</v>
      </c>
      <c r="D30">
        <v>87.260002</v>
      </c>
      <c r="E30">
        <f t="shared" si="13"/>
        <v>1.0031038510887194</v>
      </c>
      <c r="F30">
        <f t="shared" si="5"/>
        <v>1.2683139272537527</v>
      </c>
      <c r="G30">
        <f t="shared" si="0"/>
        <v>3.103851088719356E-3</v>
      </c>
      <c r="I30">
        <v>62.93</v>
      </c>
      <c r="J30">
        <v>61.880001</v>
      </c>
      <c r="K30">
        <v>55.537621000000001</v>
      </c>
      <c r="L30">
        <f t="shared" si="14"/>
        <v>0.9864499592765571</v>
      </c>
      <c r="M30">
        <f t="shared" si="6"/>
        <v>0.88097954590209271</v>
      </c>
      <c r="N30">
        <f t="shared" si="7"/>
        <v>-1.3550040723442902E-2</v>
      </c>
      <c r="P30">
        <f t="shared" si="2"/>
        <v>2.1492934731558453</v>
      </c>
      <c r="Q30">
        <f t="shared" si="15"/>
        <v>-3.7899965952846726E-3</v>
      </c>
      <c r="T30">
        <f t="shared" si="3"/>
        <v>0.59010737393226487</v>
      </c>
      <c r="U30">
        <f t="shared" si="4"/>
        <v>0.40989262606773519</v>
      </c>
      <c r="V30">
        <f t="shared" si="8"/>
        <v>-3.7899965952846643E-3</v>
      </c>
      <c r="W30">
        <f t="shared" si="9"/>
        <v>8.2399365108898337E-18</v>
      </c>
      <c r="Y30">
        <f t="shared" si="10"/>
        <v>3.099044087171674E-3</v>
      </c>
      <c r="Z30">
        <f t="shared" si="11"/>
        <v>-1.3642680323984633E-2</v>
      </c>
      <c r="AA30">
        <f t="shared" si="12"/>
        <v>-3.7971968307167828E-3</v>
      </c>
    </row>
    <row r="31" spans="1:27" x14ac:dyDescent="0.3">
      <c r="A31" s="1">
        <v>43868</v>
      </c>
      <c r="B31">
        <v>87.230002999999996</v>
      </c>
      <c r="C31">
        <v>88.639999000000003</v>
      </c>
      <c r="D31">
        <v>88.639999000000003</v>
      </c>
      <c r="E31">
        <f t="shared" si="13"/>
        <v>1.015814771583434</v>
      </c>
      <c r="F31">
        <f t="shared" si="5"/>
        <v>1.2883720223093589</v>
      </c>
      <c r="G31">
        <f t="shared" si="0"/>
        <v>1.5814771583434029E-2</v>
      </c>
      <c r="I31">
        <v>61.41</v>
      </c>
      <c r="J31">
        <v>61.470001000000003</v>
      </c>
      <c r="K31">
        <v>55.169635999999997</v>
      </c>
      <c r="L31">
        <f t="shared" si="14"/>
        <v>0.99337413102372529</v>
      </c>
      <c r="M31">
        <f t="shared" si="6"/>
        <v>0.87514229086016748</v>
      </c>
      <c r="N31">
        <f t="shared" si="7"/>
        <v>-6.6258689762747069E-3</v>
      </c>
      <c r="P31">
        <f t="shared" si="2"/>
        <v>2.1635143131695265</v>
      </c>
      <c r="Q31">
        <f t="shared" si="15"/>
        <v>6.6165184937729826E-3</v>
      </c>
      <c r="T31">
        <f t="shared" si="3"/>
        <v>0.59549965279495054</v>
      </c>
      <c r="U31">
        <f t="shared" si="4"/>
        <v>0.4045003472050494</v>
      </c>
      <c r="V31">
        <f t="shared" si="8"/>
        <v>6.6165184937728855E-3</v>
      </c>
      <c r="W31">
        <f t="shared" si="9"/>
        <v>9.7144514654701197E-17</v>
      </c>
      <c r="Y31">
        <f t="shared" si="10"/>
        <v>1.5691021101912676E-2</v>
      </c>
      <c r="Z31">
        <f t="shared" si="11"/>
        <v>-6.647917493812998E-3</v>
      </c>
      <c r="AA31">
        <f t="shared" si="12"/>
        <v>6.5947254120187352E-3</v>
      </c>
    </row>
    <row r="32" spans="1:27" x14ac:dyDescent="0.3">
      <c r="A32" s="1">
        <v>43871</v>
      </c>
      <c r="B32">
        <v>89.089995999999999</v>
      </c>
      <c r="C32">
        <v>89.669998000000007</v>
      </c>
      <c r="D32">
        <v>89.669998000000007</v>
      </c>
      <c r="E32">
        <f t="shared" si="13"/>
        <v>1.0116200249505869</v>
      </c>
      <c r="F32">
        <f t="shared" si="5"/>
        <v>1.3033429373542318</v>
      </c>
      <c r="G32">
        <f t="shared" si="0"/>
        <v>1.1620024950586894E-2</v>
      </c>
      <c r="I32">
        <v>60.48</v>
      </c>
      <c r="J32">
        <v>59.959999000000003</v>
      </c>
      <c r="K32">
        <v>54.586987000000001</v>
      </c>
      <c r="L32">
        <f t="shared" si="14"/>
        <v>0.98943895515279467</v>
      </c>
      <c r="M32">
        <f t="shared" si="6"/>
        <v>0.86589987387870726</v>
      </c>
      <c r="N32">
        <f t="shared" si="7"/>
        <v>-1.0561044847205325E-2</v>
      </c>
      <c r="P32">
        <f t="shared" si="2"/>
        <v>2.1692428112329392</v>
      </c>
      <c r="Q32">
        <f t="shared" si="15"/>
        <v>2.6477745160005117E-3</v>
      </c>
      <c r="T32">
        <f t="shared" si="3"/>
        <v>0.60082851518749381</v>
      </c>
      <c r="U32">
        <f t="shared" si="4"/>
        <v>0.39917148481250614</v>
      </c>
      <c r="V32">
        <f t="shared" si="8"/>
        <v>2.6477745160005048E-3</v>
      </c>
      <c r="W32">
        <f t="shared" si="9"/>
        <v>6.9388939039072284E-18</v>
      </c>
      <c r="Y32">
        <f t="shared" si="10"/>
        <v>1.1553030942567167E-2</v>
      </c>
      <c r="Z32">
        <f t="shared" si="11"/>
        <v>-1.0617208462296872E-2</v>
      </c>
      <c r="AA32">
        <f t="shared" si="12"/>
        <v>2.644275336388171E-3</v>
      </c>
    </row>
    <row r="33" spans="1:27" x14ac:dyDescent="0.3">
      <c r="A33" s="1">
        <v>43872</v>
      </c>
      <c r="B33">
        <v>90</v>
      </c>
      <c r="C33">
        <v>88.68</v>
      </c>
      <c r="D33">
        <v>88.68</v>
      </c>
      <c r="E33">
        <f t="shared" si="13"/>
        <v>0.98895954029128008</v>
      </c>
      <c r="F33">
        <f t="shared" si="5"/>
        <v>1.2889534321677276</v>
      </c>
      <c r="G33">
        <f t="shared" si="0"/>
        <v>-1.1040459708719919E-2</v>
      </c>
      <c r="I33">
        <v>60.580002</v>
      </c>
      <c r="J33">
        <v>60.529998999999997</v>
      </c>
      <c r="K33">
        <v>55.105907000000002</v>
      </c>
      <c r="L33">
        <f t="shared" si="14"/>
        <v>1.0095062949709974</v>
      </c>
      <c r="M33">
        <f t="shared" si="6"/>
        <v>0.87413137349514769</v>
      </c>
      <c r="N33">
        <f t="shared" si="7"/>
        <v>9.5062949709974198E-3</v>
      </c>
      <c r="P33">
        <f t="shared" si="2"/>
        <v>2.1630848056628755</v>
      </c>
      <c r="Q33">
        <f t="shared" si="15"/>
        <v>-2.8387811351388015E-3</v>
      </c>
      <c r="T33">
        <f t="shared" si="3"/>
        <v>0.59588668405108092</v>
      </c>
      <c r="U33">
        <f t="shared" si="4"/>
        <v>0.40411331594891903</v>
      </c>
      <c r="V33">
        <f t="shared" si="8"/>
        <v>-2.8387811351388392E-3</v>
      </c>
      <c r="W33">
        <f t="shared" si="9"/>
        <v>3.7730235602495554E-17</v>
      </c>
      <c r="Y33">
        <f t="shared" si="10"/>
        <v>-1.11018579118416E-2</v>
      </c>
      <c r="Z33">
        <f t="shared" si="11"/>
        <v>9.461394482860758E-3</v>
      </c>
      <c r="AA33">
        <f t="shared" si="12"/>
        <v>-2.8428181161859532E-3</v>
      </c>
    </row>
    <row r="34" spans="1:27" x14ac:dyDescent="0.3">
      <c r="A34" s="1">
        <v>43873</v>
      </c>
      <c r="B34">
        <v>88.660004000000001</v>
      </c>
      <c r="C34">
        <v>88.279999000000004</v>
      </c>
      <c r="D34">
        <v>88.279999000000004</v>
      </c>
      <c r="E34">
        <f t="shared" si="13"/>
        <v>0.99548938881371218</v>
      </c>
      <c r="F34">
        <f t="shared" si="5"/>
        <v>1.2831394643979879</v>
      </c>
      <c r="G34">
        <f t="shared" si="0"/>
        <v>-4.5106111862878162E-3</v>
      </c>
      <c r="I34">
        <v>61.34</v>
      </c>
      <c r="J34">
        <v>61.27</v>
      </c>
      <c r="K34">
        <v>55.779594000000003</v>
      </c>
      <c r="L34">
        <f t="shared" si="14"/>
        <v>1.0122253137036652</v>
      </c>
      <c r="M34">
        <f t="shared" si="6"/>
        <v>0.88481790375434155</v>
      </c>
      <c r="N34">
        <f t="shared" si="7"/>
        <v>1.2225313703665197E-2</v>
      </c>
      <c r="P34">
        <f t="shared" si="2"/>
        <v>2.1679573681523294</v>
      </c>
      <c r="Q34">
        <f t="shared" si="15"/>
        <v>2.2525989164630111E-3</v>
      </c>
      <c r="T34">
        <f t="shared" si="3"/>
        <v>0.59186563502010214</v>
      </c>
      <c r="U34">
        <f t="shared" si="4"/>
        <v>0.40813436497989786</v>
      </c>
      <c r="V34">
        <f t="shared" si="8"/>
        <v>2.2525989164631438E-3</v>
      </c>
      <c r="W34">
        <f t="shared" si="9"/>
        <v>1.3270634591222574E-16</v>
      </c>
      <c r="Y34">
        <f t="shared" si="10"/>
        <v>-4.5208146871691893E-3</v>
      </c>
      <c r="Z34">
        <f t="shared" si="11"/>
        <v>1.2151188083891094E-2</v>
      </c>
      <c r="AA34">
        <f t="shared" si="12"/>
        <v>2.2500656191457007E-3</v>
      </c>
    </row>
    <row r="35" spans="1:27" x14ac:dyDescent="0.3">
      <c r="A35" s="1">
        <v>43874</v>
      </c>
      <c r="B35">
        <v>87.610000999999997</v>
      </c>
      <c r="C35">
        <v>89.860000999999997</v>
      </c>
      <c r="D35">
        <v>89.860000999999997</v>
      </c>
      <c r="E35">
        <f t="shared" si="13"/>
        <v>1.0178976214079929</v>
      </c>
      <c r="F35">
        <f t="shared" si="5"/>
        <v>1.3061046087454378</v>
      </c>
      <c r="G35">
        <f t="shared" si="0"/>
        <v>1.7897621407992892E-2</v>
      </c>
      <c r="I35">
        <v>61.060001</v>
      </c>
      <c r="J35">
        <v>60.93</v>
      </c>
      <c r="K35">
        <v>55.470061999999999</v>
      </c>
      <c r="L35">
        <f t="shared" si="14"/>
        <v>0.99445080220555204</v>
      </c>
      <c r="M35">
        <f t="shared" si="6"/>
        <v>0.87990787419433991</v>
      </c>
      <c r="N35">
        <f t="shared" si="7"/>
        <v>-5.5491977944479576E-3</v>
      </c>
      <c r="P35">
        <f t="shared" si="2"/>
        <v>2.1860124829397778</v>
      </c>
      <c r="Q35">
        <f t="shared" si="15"/>
        <v>8.3281687420062589E-3</v>
      </c>
      <c r="T35">
        <f t="shared" si="3"/>
        <v>0.59748268545519534</v>
      </c>
      <c r="U35">
        <f t="shared" si="4"/>
        <v>0.40251731454480466</v>
      </c>
      <c r="V35">
        <f t="shared" si="8"/>
        <v>8.3281687420062207E-3</v>
      </c>
      <c r="W35">
        <f t="shared" si="9"/>
        <v>3.8163916471489756E-17</v>
      </c>
      <c r="Y35">
        <f t="shared" si="10"/>
        <v>1.7739344709494152E-2</v>
      </c>
      <c r="Z35">
        <f t="shared" si="11"/>
        <v>-5.5646517905662274E-3</v>
      </c>
      <c r="AA35">
        <f t="shared" si="12"/>
        <v>8.2936808928239514E-3</v>
      </c>
    </row>
    <row r="36" spans="1:27" x14ac:dyDescent="0.3">
      <c r="A36" s="1">
        <v>43875</v>
      </c>
      <c r="B36">
        <v>90.879997000000003</v>
      </c>
      <c r="C36">
        <v>90.949996999999996</v>
      </c>
      <c r="D36">
        <v>90.949996999999996</v>
      </c>
      <c r="E36">
        <f t="shared" si="13"/>
        <v>1.0121299353201654</v>
      </c>
      <c r="F36">
        <f t="shared" si="5"/>
        <v>1.3219475731708898</v>
      </c>
      <c r="G36">
        <f t="shared" si="0"/>
        <v>1.2129935320165375E-2</v>
      </c>
      <c r="I36">
        <v>61.150002000000001</v>
      </c>
      <c r="J36">
        <v>60.650002000000001</v>
      </c>
      <c r="K36">
        <v>55.215156999999998</v>
      </c>
      <c r="L36">
        <f t="shared" si="14"/>
        <v>0.99540463827136161</v>
      </c>
      <c r="M36">
        <f t="shared" si="6"/>
        <v>0.87586437922453964</v>
      </c>
      <c r="N36">
        <f t="shared" si="7"/>
        <v>-4.5953617286383919E-3</v>
      </c>
      <c r="P36">
        <f t="shared" si="2"/>
        <v>2.1978119523954294</v>
      </c>
      <c r="Q36">
        <f t="shared" si="15"/>
        <v>5.3977136671166104E-3</v>
      </c>
      <c r="T36">
        <f t="shared" si="3"/>
        <v>0.60148347620463105</v>
      </c>
      <c r="U36">
        <f t="shared" si="4"/>
        <v>0.39851652379536906</v>
      </c>
      <c r="V36">
        <f t="shared" si="8"/>
        <v>5.3977136671167361E-3</v>
      </c>
      <c r="W36">
        <f t="shared" si="9"/>
        <v>1.2576745200831851E-16</v>
      </c>
      <c r="Y36">
        <f t="shared" si="10"/>
        <v>1.2056957208538173E-2</v>
      </c>
      <c r="Z36">
        <f t="shared" si="11"/>
        <v>-4.60595286253039E-3</v>
      </c>
      <c r="AA36">
        <f t="shared" si="12"/>
        <v>5.3831982207549495E-3</v>
      </c>
    </row>
    <row r="37" spans="1:27" x14ac:dyDescent="0.3">
      <c r="A37" s="1">
        <v>43879</v>
      </c>
      <c r="B37">
        <v>93.019997000000004</v>
      </c>
      <c r="C37">
        <v>96.389999000000003</v>
      </c>
      <c r="D37">
        <v>96.389999000000003</v>
      </c>
      <c r="E37">
        <f t="shared" si="13"/>
        <v>1.0598131080751989</v>
      </c>
      <c r="F37">
        <f t="shared" si="5"/>
        <v>1.4010173662347072</v>
      </c>
      <c r="G37">
        <f t="shared" si="0"/>
        <v>5.9813108075198906E-2</v>
      </c>
      <c r="I37">
        <v>60.150002000000001</v>
      </c>
      <c r="J37">
        <v>59.880001</v>
      </c>
      <c r="K37">
        <v>54.514156</v>
      </c>
      <c r="L37">
        <f t="shared" si="14"/>
        <v>0.98730419257886026</v>
      </c>
      <c r="M37">
        <f t="shared" si="6"/>
        <v>0.86474457373886882</v>
      </c>
      <c r="N37">
        <f t="shared" si="7"/>
        <v>-1.2695807421139738E-2</v>
      </c>
      <c r="P37">
        <f t="shared" si="2"/>
        <v>2.2657619399735758</v>
      </c>
      <c r="Q37">
        <f t="shared" si="15"/>
        <v>3.0917107127425902E-2</v>
      </c>
      <c r="T37">
        <f t="shared" si="3"/>
        <v>0.61834270472874409</v>
      </c>
      <c r="U37">
        <f t="shared" si="4"/>
        <v>0.38165729527125597</v>
      </c>
      <c r="V37">
        <f t="shared" si="8"/>
        <v>3.0917107127425875E-2</v>
      </c>
      <c r="W37">
        <f t="shared" si="9"/>
        <v>2.7755575615628914E-17</v>
      </c>
      <c r="Y37">
        <f t="shared" si="10"/>
        <v>5.8092579442382684E-2</v>
      </c>
      <c r="Z37">
        <f t="shared" si="11"/>
        <v>-1.2777087864218193E-2</v>
      </c>
      <c r="AA37">
        <f t="shared" si="12"/>
        <v>3.044880134416798E-2</v>
      </c>
    </row>
    <row r="38" spans="1:27" x14ac:dyDescent="0.3">
      <c r="A38" s="1">
        <v>43880</v>
      </c>
      <c r="B38">
        <v>100.32</v>
      </c>
      <c r="C38">
        <v>103.93</v>
      </c>
      <c r="D38">
        <v>103.93</v>
      </c>
      <c r="E38">
        <f t="shared" si="13"/>
        <v>1.0782238933315063</v>
      </c>
      <c r="F38">
        <f t="shared" si="5"/>
        <v>1.5106103992466386</v>
      </c>
      <c r="G38">
        <f t="shared" si="0"/>
        <v>7.8223893331506256E-2</v>
      </c>
      <c r="I38">
        <v>60.110000999999997</v>
      </c>
      <c r="J38">
        <v>60.34</v>
      </c>
      <c r="K38">
        <v>54.932929999999999</v>
      </c>
      <c r="L38">
        <f t="shared" si="14"/>
        <v>1.0076819312767127</v>
      </c>
      <c r="M38">
        <f t="shared" si="6"/>
        <v>0.87138748212624106</v>
      </c>
      <c r="N38">
        <f t="shared" si="7"/>
        <v>7.6819312767126835E-3</v>
      </c>
      <c r="P38">
        <f t="shared" si="2"/>
        <v>2.3819978813728797</v>
      </c>
      <c r="Q38">
        <f t="shared" si="15"/>
        <v>5.1301038890546158E-2</v>
      </c>
      <c r="T38">
        <f t="shared" si="3"/>
        <v>0.63417789371667643</v>
      </c>
      <c r="U38">
        <f t="shared" si="4"/>
        <v>0.36582210628332351</v>
      </c>
      <c r="V38">
        <f t="shared" si="8"/>
        <v>5.1301038890546179E-2</v>
      </c>
      <c r="W38">
        <f t="shared" si="9"/>
        <v>2.0816681711721685E-17</v>
      </c>
      <c r="Y38">
        <f t="shared" si="10"/>
        <v>7.5315144178973698E-2</v>
      </c>
      <c r="Z38">
        <f t="shared" si="11"/>
        <v>7.6525754862368737E-3</v>
      </c>
      <c r="AA38">
        <f t="shared" si="12"/>
        <v>5.0028481795246799E-2</v>
      </c>
    </row>
    <row r="39" spans="1:27" x14ac:dyDescent="0.3">
      <c r="A39" s="1">
        <v>43881</v>
      </c>
      <c r="B39">
        <v>104</v>
      </c>
      <c r="C39">
        <v>105.290001</v>
      </c>
      <c r="D39">
        <v>105.290001</v>
      </c>
      <c r="E39">
        <f t="shared" si="13"/>
        <v>1.0130857404021938</v>
      </c>
      <c r="F39">
        <f t="shared" si="5"/>
        <v>1.5303778547800344</v>
      </c>
      <c r="G39">
        <f t="shared" si="0"/>
        <v>1.3085740402193791E-2</v>
      </c>
      <c r="I39">
        <v>60.23</v>
      </c>
      <c r="J39">
        <v>59.860000999999997</v>
      </c>
      <c r="K39">
        <v>54.495953</v>
      </c>
      <c r="L39">
        <f t="shared" si="14"/>
        <v>0.99204526319641062</v>
      </c>
      <c r="M39">
        <f t="shared" si="6"/>
        <v>0.8644558240519844</v>
      </c>
      <c r="N39">
        <f t="shared" si="7"/>
        <v>-7.9547368035893795E-3</v>
      </c>
      <c r="P39">
        <f t="shared" si="2"/>
        <v>2.3948336788320188</v>
      </c>
      <c r="Q39">
        <f t="shared" si="15"/>
        <v>5.3886687135680233E-3</v>
      </c>
      <c r="T39">
        <f t="shared" si="3"/>
        <v>0.639033043633499</v>
      </c>
      <c r="U39">
        <f t="shared" si="4"/>
        <v>0.360966956366501</v>
      </c>
      <c r="V39">
        <f t="shared" si="8"/>
        <v>5.388668713567934E-3</v>
      </c>
      <c r="W39">
        <f t="shared" si="9"/>
        <v>8.9338259012805565E-17</v>
      </c>
      <c r="Y39">
        <f t="shared" si="10"/>
        <v>1.300086176591575E-2</v>
      </c>
      <c r="Z39">
        <f t="shared" si="11"/>
        <v>-7.9865445160117992E-3</v>
      </c>
      <c r="AA39">
        <f t="shared" si="12"/>
        <v>5.3742017866952171E-3</v>
      </c>
    </row>
    <row r="40" spans="1:27" x14ac:dyDescent="0.3">
      <c r="A40" s="1">
        <v>43882</v>
      </c>
      <c r="B40">
        <v>104.029999</v>
      </c>
      <c r="C40">
        <v>101.760002</v>
      </c>
      <c r="D40">
        <v>101.760002</v>
      </c>
      <c r="E40">
        <f t="shared" si="13"/>
        <v>0.96647355906094057</v>
      </c>
      <c r="F40">
        <f t="shared" si="5"/>
        <v>1.4790697320173072</v>
      </c>
      <c r="G40">
        <f t="shared" si="0"/>
        <v>-3.3526440939059432E-2</v>
      </c>
      <c r="I40">
        <v>59.509998000000003</v>
      </c>
      <c r="J40">
        <v>59.130001</v>
      </c>
      <c r="K40">
        <v>53.831364000000001</v>
      </c>
      <c r="L40">
        <f t="shared" si="14"/>
        <v>0.98780480084456912</v>
      </c>
      <c r="M40">
        <f t="shared" si="6"/>
        <v>0.8539136131165983</v>
      </c>
      <c r="N40">
        <f t="shared" si="7"/>
        <v>-1.219519915543088E-2</v>
      </c>
      <c r="P40">
        <f t="shared" si="2"/>
        <v>2.3329833451339055</v>
      </c>
      <c r="Q40">
        <f t="shared" si="15"/>
        <v>-2.5826567516905041E-2</v>
      </c>
      <c r="T40">
        <f t="shared" si="3"/>
        <v>0.63398212211944172</v>
      </c>
      <c r="U40">
        <f t="shared" si="4"/>
        <v>0.36601787788055834</v>
      </c>
      <c r="V40">
        <f t="shared" si="8"/>
        <v>-2.5826567516905104E-2</v>
      </c>
      <c r="W40">
        <f t="shared" si="9"/>
        <v>6.2450045135165055E-17</v>
      </c>
      <c r="Y40">
        <f t="shared" si="10"/>
        <v>-3.4101338120346256E-2</v>
      </c>
      <c r="Z40">
        <f t="shared" si="11"/>
        <v>-1.2270170749167182E-2</v>
      </c>
      <c r="AA40">
        <f t="shared" si="12"/>
        <v>-2.6165929093142196E-2</v>
      </c>
    </row>
    <row r="41" spans="1:27" x14ac:dyDescent="0.3">
      <c r="A41" s="1">
        <v>43885</v>
      </c>
      <c r="B41">
        <v>97.800003000000004</v>
      </c>
      <c r="C41">
        <v>105.010002</v>
      </c>
      <c r="D41">
        <v>105.010002</v>
      </c>
      <c r="E41">
        <f t="shared" si="13"/>
        <v>1.0319378924540508</v>
      </c>
      <c r="F41">
        <f t="shared" si="5"/>
        <v>1.5263081020505176</v>
      </c>
      <c r="G41">
        <f t="shared" si="0"/>
        <v>3.1937892454050765E-2</v>
      </c>
      <c r="I41">
        <v>57.619999</v>
      </c>
      <c r="J41">
        <v>56.360000999999997</v>
      </c>
      <c r="K41">
        <v>51.309581999999999</v>
      </c>
      <c r="L41">
        <f t="shared" si="14"/>
        <v>0.95315403860099102</v>
      </c>
      <c r="M41">
        <f t="shared" si="6"/>
        <v>0.81391120895844982</v>
      </c>
      <c r="N41">
        <f t="shared" si="7"/>
        <v>-4.6845961399008984E-2</v>
      </c>
      <c r="P41">
        <f t="shared" si="2"/>
        <v>2.3402193110089673</v>
      </c>
      <c r="Q41">
        <f t="shared" si="15"/>
        <v>3.10159345550165E-3</v>
      </c>
      <c r="T41">
        <f t="shared" si="3"/>
        <v>0.65220729308163083</v>
      </c>
      <c r="U41">
        <f t="shared" si="4"/>
        <v>0.34779270691836928</v>
      </c>
      <c r="V41">
        <f t="shared" si="8"/>
        <v>3.1015934555017888E-3</v>
      </c>
      <c r="W41">
        <f t="shared" si="9"/>
        <v>1.3877787807814457E-16</v>
      </c>
      <c r="Y41">
        <f t="shared" si="10"/>
        <v>3.1438483517807023E-2</v>
      </c>
      <c r="Z41">
        <f t="shared" si="11"/>
        <v>-4.7978752921553361E-2</v>
      </c>
      <c r="AA41">
        <f t="shared" si="12"/>
        <v>3.0967934370960833E-3</v>
      </c>
    </row>
    <row r="42" spans="1:27" x14ac:dyDescent="0.3">
      <c r="A42" s="1">
        <v>43886</v>
      </c>
      <c r="B42">
        <v>108.519997</v>
      </c>
      <c r="C42">
        <v>107.08000199999999</v>
      </c>
      <c r="D42">
        <v>107.08000199999999</v>
      </c>
      <c r="E42">
        <f t="shared" si="13"/>
        <v>1.019712407966624</v>
      </c>
      <c r="F42">
        <f t="shared" si="5"/>
        <v>1.5563953100409009</v>
      </c>
      <c r="G42">
        <f t="shared" si="0"/>
        <v>1.971240796662399E-2</v>
      </c>
      <c r="I42">
        <v>56.75</v>
      </c>
      <c r="J42">
        <v>54.200001</v>
      </c>
      <c r="K42">
        <v>49.343142999999998</v>
      </c>
      <c r="L42">
        <f t="shared" si="14"/>
        <v>0.96167501423028545</v>
      </c>
      <c r="M42">
        <f t="shared" si="6"/>
        <v>0.78271807345730604</v>
      </c>
      <c r="N42">
        <f t="shared" si="7"/>
        <v>-3.8324985769714548E-2</v>
      </c>
      <c r="P42">
        <f t="shared" si="2"/>
        <v>2.3391133834982067</v>
      </c>
      <c r="Q42">
        <f t="shared" si="15"/>
        <v>-4.7257430342451112E-4</v>
      </c>
      <c r="T42">
        <f t="shared" si="3"/>
        <v>0.66537831001303149</v>
      </c>
      <c r="U42">
        <f t="shared" si="4"/>
        <v>0.33462168998696856</v>
      </c>
      <c r="V42">
        <f t="shared" si="8"/>
        <v>-4.7257430342439663E-4</v>
      </c>
      <c r="W42">
        <f t="shared" si="9"/>
        <v>1.1449174941446927E-16</v>
      </c>
      <c r="Y42">
        <f t="shared" si="10"/>
        <v>1.9520634566068822E-2</v>
      </c>
      <c r="Z42">
        <f t="shared" si="11"/>
        <v>-3.9078708436931439E-2</v>
      </c>
      <c r="AA42">
        <f t="shared" si="12"/>
        <v>-4.7268600185256378E-4</v>
      </c>
    </row>
    <row r="43" spans="1:27" x14ac:dyDescent="0.3">
      <c r="A43" s="1">
        <v>43887</v>
      </c>
      <c r="B43">
        <v>109.943001</v>
      </c>
      <c r="C43">
        <v>106.879997</v>
      </c>
      <c r="D43">
        <v>106.879997</v>
      </c>
      <c r="E43">
        <f t="shared" si="13"/>
        <v>0.99813219092020566</v>
      </c>
      <c r="F43">
        <f t="shared" si="5"/>
        <v>1.5534882607490572</v>
      </c>
      <c r="G43">
        <f t="shared" si="0"/>
        <v>-1.8678090797943359E-3</v>
      </c>
      <c r="I43">
        <v>54.549999</v>
      </c>
      <c r="J43">
        <v>53.009998000000003</v>
      </c>
      <c r="K43">
        <v>48.259773000000003</v>
      </c>
      <c r="L43">
        <f t="shared" si="14"/>
        <v>0.97804416309678543</v>
      </c>
      <c r="M43">
        <f t="shared" si="6"/>
        <v>0.76553284309527914</v>
      </c>
      <c r="N43">
        <f t="shared" si="7"/>
        <v>-2.1955836903214565E-2</v>
      </c>
      <c r="P43">
        <f t="shared" si="2"/>
        <v>2.3190211038443365</v>
      </c>
      <c r="Q43">
        <f t="shared" si="15"/>
        <v>-8.5896988985723066E-3</v>
      </c>
      <c r="T43">
        <f t="shared" si="3"/>
        <v>0.66988966084602508</v>
      </c>
      <c r="U43">
        <f t="shared" si="4"/>
        <v>0.33011033915397492</v>
      </c>
      <c r="V43">
        <f t="shared" si="8"/>
        <v>-8.5896988985724593E-3</v>
      </c>
      <c r="W43">
        <f t="shared" si="9"/>
        <v>1.5265566588595902E-16</v>
      </c>
      <c r="Y43">
        <f t="shared" si="10"/>
        <v>-1.8695556103028236E-3</v>
      </c>
      <c r="Z43">
        <f t="shared" si="11"/>
        <v>-2.2200453426165206E-2</v>
      </c>
      <c r="AA43">
        <f t="shared" si="12"/>
        <v>-8.626802990265638E-3</v>
      </c>
    </row>
    <row r="44" spans="1:27" x14ac:dyDescent="0.3">
      <c r="A44" s="1">
        <v>43888</v>
      </c>
      <c r="B44">
        <v>109.43</v>
      </c>
      <c r="C44">
        <v>113.550003</v>
      </c>
      <c r="D44">
        <v>113.550003</v>
      </c>
      <c r="E44">
        <f t="shared" si="13"/>
        <v>1.0624064950151524</v>
      </c>
      <c r="F44">
        <f t="shared" si="5"/>
        <v>1.650436018149591</v>
      </c>
      <c r="G44">
        <f t="shared" si="0"/>
        <v>6.2406495015152386E-2</v>
      </c>
      <c r="I44">
        <v>51.709999000000003</v>
      </c>
      <c r="J44">
        <v>49.82</v>
      </c>
      <c r="K44">
        <v>45.355629</v>
      </c>
      <c r="L44">
        <f t="shared" si="14"/>
        <v>0.9398226759168552</v>
      </c>
      <c r="M44">
        <f t="shared" si="6"/>
        <v>0.71946512510004323</v>
      </c>
      <c r="N44">
        <f t="shared" si="7"/>
        <v>-6.0177324083144801E-2</v>
      </c>
      <c r="P44">
        <f t="shared" si="2"/>
        <v>2.369901143249634</v>
      </c>
      <c r="Q44">
        <f t="shared" si="15"/>
        <v>2.1940308917823836E-2</v>
      </c>
      <c r="T44">
        <f t="shared" si="3"/>
        <v>0.69641555423130241</v>
      </c>
      <c r="U44">
        <f t="shared" si="4"/>
        <v>0.3035844457686977</v>
      </c>
      <c r="V44">
        <f t="shared" si="8"/>
        <v>2.1940308917823996E-2</v>
      </c>
      <c r="W44">
        <f t="shared" si="9"/>
        <v>1.5959455978986625E-16</v>
      </c>
      <c r="Y44">
        <f t="shared" si="10"/>
        <v>6.053661325217348E-2</v>
      </c>
      <c r="Z44">
        <f t="shared" si="11"/>
        <v>-6.2064064154992001E-2</v>
      </c>
      <c r="AA44">
        <f t="shared" si="12"/>
        <v>2.1703083928863866E-2</v>
      </c>
    </row>
    <row r="45" spans="1:27" x14ac:dyDescent="0.3">
      <c r="A45" s="1">
        <v>43889</v>
      </c>
      <c r="B45">
        <v>121.07</v>
      </c>
      <c r="C45">
        <v>105</v>
      </c>
      <c r="D45">
        <v>105</v>
      </c>
      <c r="E45">
        <f t="shared" si="13"/>
        <v>0.92470274967760235</v>
      </c>
      <c r="F45">
        <f t="shared" si="5"/>
        <v>1.5261627241498801</v>
      </c>
      <c r="G45">
        <f t="shared" si="0"/>
        <v>-7.5297250322397646E-2</v>
      </c>
      <c r="I45">
        <v>48.77</v>
      </c>
      <c r="J45">
        <v>51.439999</v>
      </c>
      <c r="K45">
        <v>46.830463000000002</v>
      </c>
      <c r="L45">
        <f t="shared" si="14"/>
        <v>1.0325171105002204</v>
      </c>
      <c r="M45">
        <f t="shared" si="6"/>
        <v>0.74286005207397621</v>
      </c>
      <c r="N45">
        <f t="shared" si="7"/>
        <v>3.2517110500220436E-2</v>
      </c>
      <c r="P45">
        <f t="shared" si="2"/>
        <v>2.2690227762238564</v>
      </c>
      <c r="Q45">
        <f t="shared" si="15"/>
        <v>-4.2566487346156534E-2</v>
      </c>
      <c r="T45">
        <f t="shared" si="3"/>
        <v>0.67260793507315264</v>
      </c>
      <c r="U45">
        <f t="shared" si="4"/>
        <v>0.32739206492684736</v>
      </c>
      <c r="V45">
        <f t="shared" si="8"/>
        <v>-4.2566487346156756E-2</v>
      </c>
      <c r="W45">
        <f t="shared" si="9"/>
        <v>2.2204460492503131E-16</v>
      </c>
      <c r="Y45">
        <f t="shared" si="10"/>
        <v>-7.8282944814123054E-2</v>
      </c>
      <c r="Z45">
        <f t="shared" si="11"/>
        <v>3.199961762878456E-2</v>
      </c>
      <c r="AA45">
        <f t="shared" si="12"/>
        <v>-4.3498998819924597E-2</v>
      </c>
    </row>
    <row r="46" spans="1:27" x14ac:dyDescent="0.3">
      <c r="A46" s="1">
        <v>43892</v>
      </c>
      <c r="B46">
        <v>109.349998</v>
      </c>
      <c r="C46">
        <v>113.110001</v>
      </c>
      <c r="D46">
        <v>113.110001</v>
      </c>
      <c r="E46">
        <f t="shared" si="13"/>
        <v>1.0772381047619046</v>
      </c>
      <c r="F46">
        <f t="shared" si="5"/>
        <v>1.6440406405214822</v>
      </c>
      <c r="G46">
        <f t="shared" si="0"/>
        <v>7.7238104761904625E-2</v>
      </c>
      <c r="I46">
        <v>52.59</v>
      </c>
      <c r="J46">
        <v>53.880001</v>
      </c>
      <c r="K46">
        <v>49.051819000000002</v>
      </c>
      <c r="L46">
        <f t="shared" si="14"/>
        <v>1.0474339961148793</v>
      </c>
      <c r="M46">
        <f t="shared" si="6"/>
        <v>0.77809687289795226</v>
      </c>
      <c r="N46">
        <f t="shared" si="7"/>
        <v>4.7433996114879307E-2</v>
      </c>
      <c r="P46">
        <f t="shared" si="2"/>
        <v>2.4221375134194343</v>
      </c>
      <c r="Q46">
        <f t="shared" si="15"/>
        <v>6.7480476088650709E-2</v>
      </c>
      <c r="T46">
        <f t="shared" si="3"/>
        <v>0.67875611166292549</v>
      </c>
      <c r="U46">
        <f t="shared" si="4"/>
        <v>0.32124388833707457</v>
      </c>
      <c r="V46">
        <f t="shared" si="8"/>
        <v>6.7480476088650904E-2</v>
      </c>
      <c r="W46">
        <f t="shared" si="9"/>
        <v>1.9428902930940239E-16</v>
      </c>
      <c r="Y46">
        <f t="shared" si="10"/>
        <v>7.4400455226717441E-2</v>
      </c>
      <c r="Z46">
        <f t="shared" si="11"/>
        <v>4.6343359960037245E-2</v>
      </c>
      <c r="AA46">
        <f t="shared" si="12"/>
        <v>6.5301176575076697E-2</v>
      </c>
    </row>
    <row r="47" spans="1:27" x14ac:dyDescent="0.3">
      <c r="A47" s="1">
        <v>43893</v>
      </c>
      <c r="B47">
        <v>114.550003</v>
      </c>
      <c r="C47">
        <v>117.470001</v>
      </c>
      <c r="D47">
        <v>117.470001</v>
      </c>
      <c r="E47">
        <f t="shared" si="13"/>
        <v>1.0385465472677344</v>
      </c>
      <c r="F47">
        <f t="shared" si="5"/>
        <v>1.70741273078142</v>
      </c>
      <c r="G47">
        <f t="shared" si="0"/>
        <v>3.8546547267734432E-2</v>
      </c>
      <c r="I47">
        <v>53.950001</v>
      </c>
      <c r="J47">
        <v>51.299999</v>
      </c>
      <c r="K47">
        <v>46.703010999999996</v>
      </c>
      <c r="L47">
        <f t="shared" si="14"/>
        <v>0.95211578188364421</v>
      </c>
      <c r="M47">
        <f t="shared" si="6"/>
        <v>0.7408383125204524</v>
      </c>
      <c r="N47">
        <f t="shared" si="7"/>
        <v>-4.7884218116355792E-2</v>
      </c>
      <c r="P47">
        <f t="shared" si="2"/>
        <v>2.4482510433018723</v>
      </c>
      <c r="Q47">
        <f t="shared" si="15"/>
        <v>1.078119212379991E-2</v>
      </c>
      <c r="T47">
        <f t="shared" si="3"/>
        <v>0.69740100201435673</v>
      </c>
      <c r="U47">
        <f t="shared" si="4"/>
        <v>0.30259899798564333</v>
      </c>
      <c r="V47">
        <f t="shared" si="8"/>
        <v>1.0781192123799865E-2</v>
      </c>
      <c r="W47">
        <f t="shared" si="9"/>
        <v>4.5102810375396984E-17</v>
      </c>
      <c r="Y47">
        <f t="shared" si="10"/>
        <v>3.7822184964365319E-2</v>
      </c>
      <c r="Z47">
        <f t="shared" si="11"/>
        <v>-4.9068631960162139E-2</v>
      </c>
      <c r="AA47">
        <f t="shared" si="12"/>
        <v>1.072348943734275E-2</v>
      </c>
    </row>
    <row r="48" spans="1:27" x14ac:dyDescent="0.3">
      <c r="A48" s="1">
        <v>43894</v>
      </c>
      <c r="B48">
        <v>118.510002</v>
      </c>
      <c r="C48">
        <v>116.800003</v>
      </c>
      <c r="D48">
        <v>116.800003</v>
      </c>
      <c r="E48">
        <f t="shared" si="13"/>
        <v>0.99429643318041694</v>
      </c>
      <c r="F48">
        <f t="shared" si="5"/>
        <v>1.6976743881828014</v>
      </c>
      <c r="G48">
        <f t="shared" si="0"/>
        <v>-5.7035668195830613E-3</v>
      </c>
      <c r="I48">
        <v>52.23</v>
      </c>
      <c r="J48">
        <v>52.419998</v>
      </c>
      <c r="K48">
        <v>47.722645</v>
      </c>
      <c r="L48">
        <f t="shared" si="14"/>
        <v>1.0218322968512674</v>
      </c>
      <c r="M48">
        <f t="shared" si="6"/>
        <v>0.75701251447819096</v>
      </c>
      <c r="N48">
        <f t="shared" si="7"/>
        <v>2.1832296851267419E-2</v>
      </c>
      <c r="P48">
        <f t="shared" si="2"/>
        <v>2.4546869026609923</v>
      </c>
      <c r="Q48">
        <f t="shared" si="15"/>
        <v>2.6287579358856838E-3</v>
      </c>
      <c r="T48">
        <f t="shared" si="3"/>
        <v>0.69160526596791028</v>
      </c>
      <c r="U48">
        <f t="shared" si="4"/>
        <v>0.30839473403208978</v>
      </c>
      <c r="V48">
        <f t="shared" si="8"/>
        <v>2.628757935885572E-3</v>
      </c>
      <c r="W48">
        <f t="shared" si="9"/>
        <v>1.1188966420050406E-16</v>
      </c>
      <c r="Y48">
        <f t="shared" si="10"/>
        <v>-5.7198942695484006E-3</v>
      </c>
      <c r="Z48">
        <f t="shared" si="11"/>
        <v>2.1597385216245754E-2</v>
      </c>
      <c r="AA48">
        <f t="shared" si="12"/>
        <v>2.6253087950581871E-3</v>
      </c>
    </row>
    <row r="49" spans="1:27" x14ac:dyDescent="0.3">
      <c r="A49" s="1">
        <v>43895</v>
      </c>
      <c r="B49">
        <v>110.25</v>
      </c>
      <c r="C49">
        <v>125</v>
      </c>
      <c r="D49">
        <v>125</v>
      </c>
      <c r="E49">
        <f t="shared" si="13"/>
        <v>1.070205451963901</v>
      </c>
      <c r="F49">
        <f t="shared" si="5"/>
        <v>1.8168603858927141</v>
      </c>
      <c r="G49">
        <f t="shared" si="0"/>
        <v>7.0205451963901044E-2</v>
      </c>
      <c r="I49">
        <v>50.419998</v>
      </c>
      <c r="J49">
        <v>50.110000999999997</v>
      </c>
      <c r="K49">
        <v>45.619647999999998</v>
      </c>
      <c r="L49">
        <f t="shared" si="14"/>
        <v>0.95593293288752113</v>
      </c>
      <c r="M49">
        <f t="shared" si="6"/>
        <v>0.72365319319769417</v>
      </c>
      <c r="N49">
        <f t="shared" si="7"/>
        <v>-4.4067067112478875E-2</v>
      </c>
      <c r="P49">
        <f t="shared" si="2"/>
        <v>2.5405135790904083</v>
      </c>
      <c r="Q49">
        <f t="shared" si="15"/>
        <v>3.4964408836164029E-2</v>
      </c>
      <c r="T49">
        <f t="shared" si="3"/>
        <v>0.71515476274022238</v>
      </c>
      <c r="U49">
        <f t="shared" si="4"/>
        <v>0.28484523725977762</v>
      </c>
      <c r="V49">
        <f t="shared" si="8"/>
        <v>3.4964408836163953E-2</v>
      </c>
      <c r="W49">
        <f t="shared" si="9"/>
        <v>7.6327832942979512E-17</v>
      </c>
      <c r="Y49">
        <f t="shared" si="10"/>
        <v>6.7850641223243247E-2</v>
      </c>
      <c r="Z49">
        <f t="shared" si="11"/>
        <v>-4.5067522274980641E-2</v>
      </c>
      <c r="AA49">
        <f t="shared" si="12"/>
        <v>3.4367038528156243E-2</v>
      </c>
    </row>
    <row r="50" spans="1:27" x14ac:dyDescent="0.3">
      <c r="A50" s="1">
        <v>43896</v>
      </c>
      <c r="B50">
        <v>119.650002</v>
      </c>
      <c r="C50">
        <v>114.32</v>
      </c>
      <c r="D50">
        <v>114.32</v>
      </c>
      <c r="E50">
        <f t="shared" si="13"/>
        <v>0.91455999999999993</v>
      </c>
      <c r="F50">
        <f t="shared" si="5"/>
        <v>1.6616278345220405</v>
      </c>
      <c r="G50">
        <f t="shared" si="0"/>
        <v>-8.5440000000000071E-2</v>
      </c>
      <c r="I50">
        <v>48.84</v>
      </c>
      <c r="J50">
        <v>47.689999</v>
      </c>
      <c r="K50">
        <v>43.416499999999999</v>
      </c>
      <c r="L50">
        <f t="shared" si="14"/>
        <v>0.95170615959158655</v>
      </c>
      <c r="M50">
        <f t="shared" si="6"/>
        <v>0.68870520137436597</v>
      </c>
      <c r="N50">
        <f t="shared" si="7"/>
        <v>-4.8293840408413446E-2</v>
      </c>
      <c r="P50">
        <f t="shared" si="2"/>
        <v>2.3503330358964067</v>
      </c>
      <c r="Q50">
        <f t="shared" si="15"/>
        <v>-7.4859093357844908E-2</v>
      </c>
      <c r="T50">
        <f t="shared" si="3"/>
        <v>0.70697548353538031</v>
      </c>
      <c r="U50">
        <f t="shared" si="4"/>
        <v>0.29302451646461958</v>
      </c>
      <c r="V50">
        <f t="shared" si="8"/>
        <v>-7.4859093357845019E-2</v>
      </c>
      <c r="W50">
        <f t="shared" si="9"/>
        <v>1.1102230246251565E-16</v>
      </c>
      <c r="Y50">
        <f t="shared" si="10"/>
        <v>-8.9312203680689234E-2</v>
      </c>
      <c r="Z50">
        <f t="shared" si="11"/>
        <v>-4.9498947725995911E-2</v>
      </c>
      <c r="AA50">
        <f t="shared" si="12"/>
        <v>-7.78092215659449E-2</v>
      </c>
    </row>
    <row r="51" spans="1:27" x14ac:dyDescent="0.3">
      <c r="A51" s="1">
        <v>43899</v>
      </c>
      <c r="B51">
        <v>105</v>
      </c>
      <c r="C51">
        <v>113.75</v>
      </c>
      <c r="D51">
        <v>113.75</v>
      </c>
      <c r="E51">
        <f t="shared" si="13"/>
        <v>0.99501399580125971</v>
      </c>
      <c r="F51">
        <f t="shared" si="5"/>
        <v>1.6533429511623698</v>
      </c>
      <c r="G51">
        <f t="shared" si="0"/>
        <v>-4.9860041987402903E-3</v>
      </c>
      <c r="I51">
        <v>41.709999000000003</v>
      </c>
      <c r="J51">
        <v>41.860000999999997</v>
      </c>
      <c r="K51">
        <v>38.108929000000003</v>
      </c>
      <c r="L51">
        <f t="shared" si="14"/>
        <v>0.87775221402001558</v>
      </c>
      <c r="M51">
        <f t="shared" si="6"/>
        <v>0.6045125153134504</v>
      </c>
      <c r="N51">
        <f t="shared" si="7"/>
        <v>-0.12224778597998442</v>
      </c>
      <c r="P51">
        <f t="shared" si="2"/>
        <v>2.2578554664758204</v>
      </c>
      <c r="Q51">
        <f t="shared" si="15"/>
        <v>-3.9346581104969136E-2</v>
      </c>
      <c r="T51">
        <f t="shared" si="3"/>
        <v>0.73226252774407852</v>
      </c>
      <c r="U51">
        <f t="shared" si="4"/>
        <v>0.26773747225592137</v>
      </c>
      <c r="V51">
        <f t="shared" si="8"/>
        <v>-3.9346581104969094E-2</v>
      </c>
      <c r="W51">
        <f t="shared" si="9"/>
        <v>4.163336342344337E-17</v>
      </c>
      <c r="Y51">
        <f t="shared" si="10"/>
        <v>-4.9984757905520818E-3</v>
      </c>
      <c r="Z51">
        <f t="shared" si="11"/>
        <v>-0.13039094155567088</v>
      </c>
      <c r="AA51">
        <f t="shared" si="12"/>
        <v>-4.0141581371467679E-2</v>
      </c>
    </row>
    <row r="52" spans="1:27" x14ac:dyDescent="0.3">
      <c r="A52" s="1">
        <v>43900</v>
      </c>
      <c r="B52">
        <v>113.800003</v>
      </c>
      <c r="C52">
        <v>108.489998</v>
      </c>
      <c r="D52">
        <v>108.489998</v>
      </c>
      <c r="E52">
        <f t="shared" si="13"/>
        <v>0.95375822417582412</v>
      </c>
      <c r="F52">
        <f t="shared" si="5"/>
        <v>1.5768894370542381</v>
      </c>
      <c r="G52">
        <f t="shared" si="0"/>
        <v>-4.6241775824175879E-2</v>
      </c>
      <c r="I52">
        <v>46.169998</v>
      </c>
      <c r="J52">
        <v>43.41</v>
      </c>
      <c r="K52">
        <v>39.520031000000003</v>
      </c>
      <c r="L52">
        <f t="shared" si="14"/>
        <v>1.0370281201027718</v>
      </c>
      <c r="M52">
        <f t="shared" si="6"/>
        <v>0.62689647733410547</v>
      </c>
      <c r="N52">
        <f t="shared" si="7"/>
        <v>3.7028120102771789E-2</v>
      </c>
      <c r="P52">
        <f t="shared" si="2"/>
        <v>2.2037859143883436</v>
      </c>
      <c r="Q52">
        <f t="shared" si="15"/>
        <v>-2.3947304373681311E-2</v>
      </c>
      <c r="T52">
        <f t="shared" si="3"/>
        <v>0.71553658037237278</v>
      </c>
      <c r="U52">
        <f t="shared" si="4"/>
        <v>0.28446341962762717</v>
      </c>
      <c r="V52">
        <f t="shared" si="8"/>
        <v>-2.3947304373681262E-2</v>
      </c>
      <c r="W52">
        <f t="shared" si="9"/>
        <v>4.8572257327350599E-17</v>
      </c>
      <c r="Y52">
        <f t="shared" si="10"/>
        <v>-4.734507343157951E-2</v>
      </c>
      <c r="Z52">
        <f t="shared" si="11"/>
        <v>3.6359045661580568E-2</v>
      </c>
      <c r="AA52">
        <f t="shared" si="12"/>
        <v>-2.4238702606120349E-2</v>
      </c>
    </row>
    <row r="53" spans="1:27" x14ac:dyDescent="0.3">
      <c r="A53" s="1">
        <v>43901</v>
      </c>
      <c r="B53">
        <v>108.410004</v>
      </c>
      <c r="C53">
        <v>110.300003</v>
      </c>
      <c r="D53">
        <v>110.300003</v>
      </c>
      <c r="E53">
        <f t="shared" si="13"/>
        <v>1.0166836117003155</v>
      </c>
      <c r="F53">
        <f t="shared" si="5"/>
        <v>1.6031976481163801</v>
      </c>
      <c r="G53">
        <f t="shared" si="0"/>
        <v>1.6683611700315515E-2</v>
      </c>
      <c r="I53">
        <v>42.389999000000003</v>
      </c>
      <c r="J53">
        <v>41.98</v>
      </c>
      <c r="K53">
        <v>38.218178000000002</v>
      </c>
      <c r="L53">
        <f t="shared" si="14"/>
        <v>0.96705840134588961</v>
      </c>
      <c r="M53">
        <f t="shared" si="6"/>
        <v>0.60624550518008979</v>
      </c>
      <c r="N53">
        <f t="shared" si="7"/>
        <v>-3.2941598654110393E-2</v>
      </c>
      <c r="P53">
        <f t="shared" si="2"/>
        <v>2.20944315329647</v>
      </c>
      <c r="Q53">
        <f t="shared" si="15"/>
        <v>2.5670546631553215E-3</v>
      </c>
      <c r="T53">
        <f t="shared" si="3"/>
        <v>0.72561163011794316</v>
      </c>
      <c r="U53">
        <f t="shared" si="4"/>
        <v>0.27438836988205684</v>
      </c>
      <c r="V53">
        <f t="shared" si="8"/>
        <v>2.5670546631551879E-3</v>
      </c>
      <c r="W53">
        <f t="shared" si="9"/>
        <v>1.3357370765021415E-16</v>
      </c>
      <c r="Y53">
        <f t="shared" si="10"/>
        <v>1.6545969058525543E-2</v>
      </c>
      <c r="Z53">
        <f t="shared" si="11"/>
        <v>-3.3496390992746899E-2</v>
      </c>
      <c r="AA53">
        <f t="shared" si="12"/>
        <v>2.5637654062657866E-3</v>
      </c>
    </row>
    <row r="54" spans="1:27" x14ac:dyDescent="0.3">
      <c r="A54" s="1">
        <v>43902</v>
      </c>
      <c r="B54">
        <v>106.25</v>
      </c>
      <c r="C54">
        <v>109.470001</v>
      </c>
      <c r="D54">
        <v>109.470001</v>
      </c>
      <c r="E54">
        <f t="shared" si="13"/>
        <v>0.99247505006867487</v>
      </c>
      <c r="F54">
        <f t="shared" si="5"/>
        <v>1.5911336660842861</v>
      </c>
      <c r="G54">
        <f t="shared" si="0"/>
        <v>-7.5249499313251311E-3</v>
      </c>
      <c r="I54">
        <v>39.900002000000001</v>
      </c>
      <c r="J54">
        <v>37.18</v>
      </c>
      <c r="K54">
        <v>33.848305000000003</v>
      </c>
      <c r="L54">
        <f t="shared" si="14"/>
        <v>0.88565982920483555</v>
      </c>
      <c r="M54">
        <f t="shared" si="6"/>
        <v>0.53692729057399757</v>
      </c>
      <c r="N54">
        <f t="shared" si="7"/>
        <v>-0.11434017079516445</v>
      </c>
      <c r="P54">
        <f t="shared" si="2"/>
        <v>2.1280609566582838</v>
      </c>
      <c r="Q54">
        <f t="shared" si="15"/>
        <v>-3.6833804262745851E-2</v>
      </c>
      <c r="T54">
        <f t="shared" si="3"/>
        <v>0.74769177128406128</v>
      </c>
      <c r="U54">
        <f t="shared" si="4"/>
        <v>0.25230822871593872</v>
      </c>
      <c r="V54">
        <f t="shared" si="8"/>
        <v>-3.6833804262745871E-2</v>
      </c>
      <c r="W54">
        <f t="shared" si="9"/>
        <v>2.0816681711721685E-17</v>
      </c>
      <c r="Y54">
        <f t="shared" si="10"/>
        <v>-7.5534052066172008E-3</v>
      </c>
      <c r="Z54">
        <f t="shared" si="11"/>
        <v>-0.12142234205026498</v>
      </c>
      <c r="AA54">
        <f t="shared" si="12"/>
        <v>-3.752930083118651E-2</v>
      </c>
    </row>
    <row r="55" spans="1:27" x14ac:dyDescent="0.3">
      <c r="A55" s="1">
        <v>43903</v>
      </c>
      <c r="B55">
        <v>113</v>
      </c>
      <c r="C55">
        <v>107.470001</v>
      </c>
      <c r="D55">
        <v>107.470001</v>
      </c>
      <c r="E55">
        <f t="shared" si="13"/>
        <v>0.98173015454708912</v>
      </c>
      <c r="F55">
        <f t="shared" si="5"/>
        <v>1.5620638999100027</v>
      </c>
      <c r="G55">
        <f t="shared" si="0"/>
        <v>-1.8269845452910882E-2</v>
      </c>
      <c r="I55">
        <v>40.009998000000003</v>
      </c>
      <c r="J55">
        <v>38.119999</v>
      </c>
      <c r="K55">
        <v>34.704062999999998</v>
      </c>
      <c r="L55">
        <f t="shared" si="14"/>
        <v>1.025282152237756</v>
      </c>
      <c r="M55">
        <f t="shared" si="6"/>
        <v>0.55050196807489526</v>
      </c>
      <c r="N55">
        <f t="shared" si="7"/>
        <v>2.5282152237755984E-2</v>
      </c>
      <c r="P55">
        <f t="shared" si="2"/>
        <v>2.1125658679848982</v>
      </c>
      <c r="Q55">
        <f t="shared" si="15"/>
        <v>-7.2813180585379333E-3</v>
      </c>
      <c r="T55">
        <f t="shared" si="3"/>
        <v>0.73941547744497083</v>
      </c>
      <c r="U55">
        <f t="shared" si="4"/>
        <v>0.26058452255502906</v>
      </c>
      <c r="V55">
        <f t="shared" si="8"/>
        <v>-7.2813180585380721E-3</v>
      </c>
      <c r="W55">
        <f t="shared" si="9"/>
        <v>1.3877787807814457E-16</v>
      </c>
      <c r="Y55">
        <f t="shared" si="10"/>
        <v>-1.8438800093404553E-2</v>
      </c>
      <c r="Z55">
        <f t="shared" si="11"/>
        <v>2.4967845186264888E-2</v>
      </c>
      <c r="AA55">
        <f t="shared" si="12"/>
        <v>-7.3079562410256742E-3</v>
      </c>
    </row>
    <row r="56" spans="1:27" x14ac:dyDescent="0.3">
      <c r="A56" s="1">
        <v>43906</v>
      </c>
      <c r="B56">
        <v>105</v>
      </c>
      <c r="C56">
        <v>107.860001</v>
      </c>
      <c r="D56">
        <v>107.860001</v>
      </c>
      <c r="E56">
        <f t="shared" si="13"/>
        <v>1.0036289196647536</v>
      </c>
      <c r="F56">
        <f t="shared" si="5"/>
        <v>1.5677325043139878</v>
      </c>
      <c r="G56">
        <f t="shared" si="0"/>
        <v>3.6289196647536492E-3</v>
      </c>
      <c r="I56">
        <v>34.400002000000001</v>
      </c>
      <c r="J56">
        <v>34.490001999999997</v>
      </c>
      <c r="K56">
        <v>31.399355</v>
      </c>
      <c r="L56">
        <f t="shared" si="14"/>
        <v>0.90477460809127741</v>
      </c>
      <c r="M56">
        <f t="shared" si="6"/>
        <v>0.49808020241844025</v>
      </c>
      <c r="N56">
        <f t="shared" si="7"/>
        <v>-9.522539190872259E-2</v>
      </c>
      <c r="P56">
        <f t="shared" si="2"/>
        <v>2.0658127067324279</v>
      </c>
      <c r="Q56">
        <f t="shared" si="15"/>
        <v>-2.2130983919126934E-2</v>
      </c>
      <c r="T56">
        <f t="shared" si="3"/>
        <v>0.7588938238228421</v>
      </c>
      <c r="U56">
        <f t="shared" si="4"/>
        <v>0.24110617617715793</v>
      </c>
      <c r="V56">
        <f t="shared" si="8"/>
        <v>-2.213098391912674E-2</v>
      </c>
      <c r="W56">
        <f t="shared" si="9"/>
        <v>1.9428902930940239E-16</v>
      </c>
      <c r="Y56">
        <f t="shared" si="10"/>
        <v>3.6223510223742654E-3</v>
      </c>
      <c r="Z56">
        <f t="shared" si="11"/>
        <v>-0.10006941813361155</v>
      </c>
      <c r="AA56">
        <f t="shared" si="12"/>
        <v>-2.2379548304450304E-2</v>
      </c>
    </row>
    <row r="57" spans="1:27" x14ac:dyDescent="0.3">
      <c r="A57" s="1">
        <v>43907</v>
      </c>
      <c r="B57">
        <v>107.33000199999999</v>
      </c>
      <c r="C57">
        <v>111.099998</v>
      </c>
      <c r="D57">
        <v>111.099998</v>
      </c>
      <c r="E57">
        <f t="shared" si="13"/>
        <v>1.0300389112735129</v>
      </c>
      <c r="F57">
        <f t="shared" si="5"/>
        <v>1.6148254819116779</v>
      </c>
      <c r="G57">
        <f t="shared" si="0"/>
        <v>3.003891127351288E-2</v>
      </c>
      <c r="I57">
        <v>35.209999000000003</v>
      </c>
      <c r="J57">
        <v>36.810001</v>
      </c>
      <c r="K57">
        <v>33.511456000000003</v>
      </c>
      <c r="L57">
        <f t="shared" si="14"/>
        <v>1.0672657447899807</v>
      </c>
      <c r="M57">
        <f t="shared" si="6"/>
        <v>0.53158393819926097</v>
      </c>
      <c r="N57">
        <f t="shared" si="7"/>
        <v>6.7265744789980708E-2</v>
      </c>
      <c r="P57">
        <f t="shared" si="2"/>
        <v>2.1464094201109387</v>
      </c>
      <c r="Q57">
        <f t="shared" si="15"/>
        <v>3.9014530753852084E-2</v>
      </c>
      <c r="T57">
        <f t="shared" si="3"/>
        <v>0.7523380519957904</v>
      </c>
      <c r="U57">
        <f t="shared" si="4"/>
        <v>0.2476619480042096</v>
      </c>
      <c r="V57">
        <f t="shared" si="8"/>
        <v>3.9014530753852097E-2</v>
      </c>
      <c r="W57">
        <f t="shared" si="9"/>
        <v>1.3877787807814457E-17</v>
      </c>
      <c r="Y57">
        <f t="shared" si="10"/>
        <v>2.959657946342557E-2</v>
      </c>
      <c r="Z57">
        <f t="shared" si="11"/>
        <v>6.5099999219853794E-2</v>
      </c>
      <c r="AA57">
        <f t="shared" si="12"/>
        <v>3.8272697345429478E-2</v>
      </c>
    </row>
    <row r="58" spans="1:27" x14ac:dyDescent="0.3">
      <c r="A58" s="1">
        <v>43908</v>
      </c>
      <c r="B58">
        <v>111</v>
      </c>
      <c r="C58">
        <v>118.709999</v>
      </c>
      <c r="D58">
        <v>118.709999</v>
      </c>
      <c r="E58">
        <f t="shared" si="13"/>
        <v>1.0684968599189353</v>
      </c>
      <c r="F58">
        <f t="shared" si="5"/>
        <v>1.7254359567397093</v>
      </c>
      <c r="G58">
        <f t="shared" si="0"/>
        <v>6.8496859918935282E-2</v>
      </c>
      <c r="I58">
        <v>34.549999</v>
      </c>
      <c r="J58">
        <v>33.119999</v>
      </c>
      <c r="K58">
        <v>30.152117000000001</v>
      </c>
      <c r="L58">
        <f t="shared" si="14"/>
        <v>0.89975550450568298</v>
      </c>
      <c r="M58">
        <f t="shared" si="6"/>
        <v>0.47829557450159388</v>
      </c>
      <c r="N58">
        <f t="shared" si="7"/>
        <v>-0.10024449549431702</v>
      </c>
      <c r="P58">
        <f t="shared" si="2"/>
        <v>2.2037315312413033</v>
      </c>
      <c r="Q58">
        <f t="shared" si="15"/>
        <v>2.670604712841862E-2</v>
      </c>
      <c r="T58">
        <f t="shared" si="3"/>
        <v>0.78296105141619365</v>
      </c>
      <c r="U58">
        <f t="shared" si="4"/>
        <v>0.21703894858380626</v>
      </c>
      <c r="V58">
        <f t="shared" si="8"/>
        <v>2.6706047128418536E-2</v>
      </c>
      <c r="W58">
        <f t="shared" si="9"/>
        <v>8.3266726846886741E-17</v>
      </c>
      <c r="Y58">
        <f t="shared" si="10"/>
        <v>6.6252856997768367E-2</v>
      </c>
      <c r="Z58">
        <f t="shared" si="11"/>
        <v>-0.10563221422489165</v>
      </c>
      <c r="AA58">
        <f t="shared" si="12"/>
        <v>2.6355665174355301E-2</v>
      </c>
    </row>
    <row r="59" spans="1:27" x14ac:dyDescent="0.3">
      <c r="A59" s="1">
        <v>43909</v>
      </c>
      <c r="B59">
        <v>122.949997</v>
      </c>
      <c r="C59">
        <v>123.769997</v>
      </c>
      <c r="D59">
        <v>123.769997</v>
      </c>
      <c r="E59">
        <f t="shared" si="13"/>
        <v>1.0426248676827974</v>
      </c>
      <c r="F59">
        <f t="shared" si="5"/>
        <v>1.7989824360908804</v>
      </c>
      <c r="G59">
        <f t="shared" si="0"/>
        <v>4.2624867682797385E-2</v>
      </c>
      <c r="I59">
        <v>33.729999999999997</v>
      </c>
      <c r="J59">
        <v>34.43</v>
      </c>
      <c r="K59">
        <v>31.344726999999999</v>
      </c>
      <c r="L59">
        <f t="shared" si="14"/>
        <v>1.0395531099856106</v>
      </c>
      <c r="M59">
        <f t="shared" si="6"/>
        <v>0.49721365196548623</v>
      </c>
      <c r="N59">
        <f t="shared" si="7"/>
        <v>3.9553109985610568E-2</v>
      </c>
      <c r="P59">
        <f t="shared" si="2"/>
        <v>2.2961960880563668</v>
      </c>
      <c r="Q59">
        <f t="shared" si="15"/>
        <v>4.1958176621895715E-2</v>
      </c>
      <c r="T59">
        <f t="shared" si="3"/>
        <v>0.78346202462771519</v>
      </c>
      <c r="U59">
        <f t="shared" si="4"/>
        <v>0.21653797537228478</v>
      </c>
      <c r="V59">
        <f t="shared" si="8"/>
        <v>4.1958176621895743E-2</v>
      </c>
      <c r="W59">
        <f t="shared" si="9"/>
        <v>2.7755575615628914E-17</v>
      </c>
      <c r="Y59">
        <f t="shared" si="10"/>
        <v>4.1741444671871408E-2</v>
      </c>
      <c r="Z59">
        <f t="shared" si="11"/>
        <v>3.8790918868035304E-2</v>
      </c>
      <c r="AA59">
        <f t="shared" si="12"/>
        <v>4.1101804926691743E-2</v>
      </c>
    </row>
    <row r="60" spans="1:27" x14ac:dyDescent="0.3">
      <c r="A60" s="1">
        <v>43910</v>
      </c>
      <c r="B60">
        <v>129</v>
      </c>
      <c r="C60">
        <v>130.550003</v>
      </c>
      <c r="D60">
        <v>130.550003</v>
      </c>
      <c r="E60">
        <f t="shared" si="13"/>
        <v>1.0547790754167992</v>
      </c>
      <c r="F60">
        <f t="shared" si="5"/>
        <v>1.8975290306309998</v>
      </c>
      <c r="G60">
        <f t="shared" si="0"/>
        <v>5.4779075416799161E-2</v>
      </c>
      <c r="I60">
        <v>34.840000000000003</v>
      </c>
      <c r="J60">
        <v>32.740001999999997</v>
      </c>
      <c r="K60">
        <v>29.806170000000002</v>
      </c>
      <c r="L60">
        <f t="shared" si="14"/>
        <v>0.95091496569742029</v>
      </c>
      <c r="M60">
        <f t="shared" si="6"/>
        <v>0.47280790280304941</v>
      </c>
      <c r="N60">
        <f t="shared" si="7"/>
        <v>-4.9085034302579711E-2</v>
      </c>
      <c r="P60">
        <f t="shared" si="2"/>
        <v>2.3703369334340492</v>
      </c>
      <c r="Q60">
        <f t="shared" si="15"/>
        <v>3.2288551384319852E-2</v>
      </c>
      <c r="T60">
        <f t="shared" si="3"/>
        <v>0.80053135225882666</v>
      </c>
      <c r="U60">
        <f t="shared" si="4"/>
        <v>0.19946864774117334</v>
      </c>
      <c r="V60">
        <f t="shared" si="8"/>
        <v>3.2288551384320012E-2</v>
      </c>
      <c r="W60">
        <f t="shared" si="9"/>
        <v>1.5959455978986625E-16</v>
      </c>
      <c r="Y60">
        <f t="shared" si="10"/>
        <v>5.333133781141515E-2</v>
      </c>
      <c r="Z60">
        <f t="shared" si="11"/>
        <v>-5.033063610499694E-2</v>
      </c>
      <c r="AA60">
        <f t="shared" si="12"/>
        <v>3.177823203201563E-2</v>
      </c>
    </row>
    <row r="61" spans="1:27" x14ac:dyDescent="0.3">
      <c r="A61" s="1">
        <v>43913</v>
      </c>
      <c r="B61">
        <v>141.996994</v>
      </c>
      <c r="C61">
        <v>159.55999800000001</v>
      </c>
      <c r="D61">
        <v>159.55999800000001</v>
      </c>
      <c r="E61">
        <f t="shared" si="13"/>
        <v>1.2222136678158484</v>
      </c>
      <c r="F61">
        <f t="shared" si="5"/>
        <v>2.3191859163145656</v>
      </c>
      <c r="G61">
        <f t="shared" si="0"/>
        <v>0.22221366781584839</v>
      </c>
      <c r="I61">
        <v>32.529998999999997</v>
      </c>
      <c r="J61">
        <v>31.450001</v>
      </c>
      <c r="K61">
        <v>28.631767</v>
      </c>
      <c r="L61">
        <f t="shared" si="14"/>
        <v>0.96059866128388849</v>
      </c>
      <c r="M61">
        <f t="shared" si="6"/>
        <v>0.45417863847705214</v>
      </c>
      <c r="N61">
        <f t="shared" si="7"/>
        <v>-3.9401338716111511E-2</v>
      </c>
      <c r="P61">
        <f t="shared" si="2"/>
        <v>2.7733645547916179</v>
      </c>
      <c r="Q61">
        <f t="shared" si="15"/>
        <v>0.17002967623412024</v>
      </c>
      <c r="T61">
        <f t="shared" si="3"/>
        <v>0.83623550762832266</v>
      </c>
      <c r="U61">
        <f t="shared" si="4"/>
        <v>0.16376449237167731</v>
      </c>
      <c r="V61">
        <f t="shared" si="8"/>
        <v>0.17002967623412013</v>
      </c>
      <c r="W61">
        <f t="shared" si="9"/>
        <v>1.1102230246251565E-16</v>
      </c>
      <c r="Y61">
        <f t="shared" si="10"/>
        <v>0.20066369637789722</v>
      </c>
      <c r="Z61">
        <f t="shared" si="11"/>
        <v>-4.0198583377318055E-2</v>
      </c>
      <c r="AA61">
        <f t="shared" si="12"/>
        <v>0.15702911279066314</v>
      </c>
    </row>
    <row r="62" spans="1:27" x14ac:dyDescent="0.3">
      <c r="A62" s="1">
        <v>43914</v>
      </c>
      <c r="B62">
        <v>154</v>
      </c>
      <c r="C62">
        <v>135.179993</v>
      </c>
      <c r="D62">
        <v>135.179993</v>
      </c>
      <c r="E62">
        <f t="shared" si="13"/>
        <v>0.84720477998501853</v>
      </c>
      <c r="F62">
        <f t="shared" si="5"/>
        <v>1.964825393975635</v>
      </c>
      <c r="G62">
        <f t="shared" si="0"/>
        <v>-0.15279522001498147</v>
      </c>
      <c r="I62">
        <v>34.419998</v>
      </c>
      <c r="J62">
        <v>35.439999</v>
      </c>
      <c r="K62">
        <v>32.264225000000003</v>
      </c>
      <c r="L62">
        <f t="shared" si="14"/>
        <v>1.1268681042284259</v>
      </c>
      <c r="M62">
        <f t="shared" si="6"/>
        <v>0.51179942132168332</v>
      </c>
      <c r="N62">
        <f t="shared" si="7"/>
        <v>0.12686810422842587</v>
      </c>
      <c r="P62">
        <f t="shared" si="2"/>
        <v>2.4766248152973183</v>
      </c>
      <c r="Q62">
        <f t="shared" si="15"/>
        <v>-0.10699629768528418</v>
      </c>
      <c r="T62">
        <f t="shared" si="3"/>
        <v>0.7933480201924562</v>
      </c>
      <c r="U62">
        <f t="shared" si="4"/>
        <v>0.2066519798075438</v>
      </c>
      <c r="V62">
        <f t="shared" si="8"/>
        <v>-0.10699629768528406</v>
      </c>
      <c r="W62">
        <f t="shared" si="9"/>
        <v>1.2490009027033011E-16</v>
      </c>
      <c r="Y62">
        <f t="shared" si="10"/>
        <v>-0.1658128426133374</v>
      </c>
      <c r="Z62">
        <f t="shared" si="11"/>
        <v>0.11944219558094828</v>
      </c>
      <c r="AA62">
        <f t="shared" si="12"/>
        <v>-0.11316455218509928</v>
      </c>
    </row>
    <row r="63" spans="1:27" x14ac:dyDescent="0.3">
      <c r="A63" s="1">
        <v>43915</v>
      </c>
      <c r="B63">
        <v>140.104996</v>
      </c>
      <c r="C63">
        <v>138.11000100000001</v>
      </c>
      <c r="D63">
        <v>138.11000100000001</v>
      </c>
      <c r="E63">
        <f t="shared" si="13"/>
        <v>1.0216748642678211</v>
      </c>
      <c r="F63">
        <f t="shared" si="5"/>
        <v>2.0074127177000252</v>
      </c>
      <c r="G63">
        <f t="shared" si="0"/>
        <v>2.1674864267821059E-2</v>
      </c>
      <c r="I63">
        <v>36.509998000000003</v>
      </c>
      <c r="J63">
        <v>37.290000999999997</v>
      </c>
      <c r="K63">
        <v>33.948444000000002</v>
      </c>
      <c r="L63">
        <f t="shared" si="14"/>
        <v>1.0522008199484103</v>
      </c>
      <c r="M63">
        <f t="shared" si="6"/>
        <v>0.53851577076379709</v>
      </c>
      <c r="N63">
        <f t="shared" si="7"/>
        <v>5.2200819948410304E-2</v>
      </c>
      <c r="P63">
        <f t="shared" si="2"/>
        <v>2.5459284884638222</v>
      </c>
      <c r="Q63">
        <f t="shared" si="15"/>
        <v>2.7983113444732366E-2</v>
      </c>
      <c r="T63">
        <f t="shared" si="3"/>
        <v>0.78847961629561325</v>
      </c>
      <c r="U63">
        <f t="shared" si="4"/>
        <v>0.21152038370438675</v>
      </c>
      <c r="V63">
        <f t="shared" si="8"/>
        <v>2.7983113444732165E-2</v>
      </c>
      <c r="W63">
        <f t="shared" si="9"/>
        <v>2.0122792321330962E-16</v>
      </c>
      <c r="Y63">
        <f t="shared" si="10"/>
        <v>2.1443304441043958E-2</v>
      </c>
      <c r="Z63">
        <f t="shared" si="11"/>
        <v>5.0883989584756859E-2</v>
      </c>
      <c r="AA63">
        <f t="shared" si="12"/>
        <v>2.7598740287872604E-2</v>
      </c>
    </row>
    <row r="64" spans="1:27" x14ac:dyDescent="0.3">
      <c r="A64" s="1">
        <v>43916</v>
      </c>
      <c r="B64">
        <v>140.509995</v>
      </c>
      <c r="C64">
        <v>141.14999399999999</v>
      </c>
      <c r="D64">
        <v>141.14999399999999</v>
      </c>
      <c r="E64">
        <f t="shared" si="13"/>
        <v>1.022011389312784</v>
      </c>
      <c r="F64">
        <f t="shared" si="5"/>
        <v>2.0515986605407543</v>
      </c>
      <c r="G64">
        <f t="shared" si="0"/>
        <v>2.2011389312784013E-2</v>
      </c>
      <c r="I64">
        <v>37.5</v>
      </c>
      <c r="J64">
        <v>38.82</v>
      </c>
      <c r="K64">
        <v>35.341343000000002</v>
      </c>
      <c r="L64">
        <f t="shared" si="14"/>
        <v>1.0410298333555434</v>
      </c>
      <c r="M64">
        <f t="shared" si="6"/>
        <v>0.56061098309756774</v>
      </c>
      <c r="N64">
        <f t="shared" si="7"/>
        <v>4.1029833355543444E-2</v>
      </c>
      <c r="P64">
        <f t="shared" si="2"/>
        <v>2.6122096436383222</v>
      </c>
      <c r="Q64">
        <f t="shared" si="15"/>
        <v>2.6034177894169064E-2</v>
      </c>
      <c r="T64">
        <f t="shared" si="3"/>
        <v>0.78538821167632589</v>
      </c>
      <c r="U64">
        <f t="shared" si="4"/>
        <v>0.21461178832367409</v>
      </c>
      <c r="V64">
        <f t="shared" si="8"/>
        <v>2.6034177894168897E-2</v>
      </c>
      <c r="W64">
        <f t="shared" si="9"/>
        <v>1.6653345369377348E-16</v>
      </c>
      <c r="Y64">
        <f t="shared" si="10"/>
        <v>2.1772635861084539E-2</v>
      </c>
      <c r="Z64">
        <f t="shared" si="11"/>
        <v>4.021044758486262E-2</v>
      </c>
      <c r="AA64">
        <f t="shared" si="12"/>
        <v>2.570105798144166E-2</v>
      </c>
    </row>
    <row r="65" spans="1:27" x14ac:dyDescent="0.3">
      <c r="A65" s="1">
        <v>43917</v>
      </c>
      <c r="B65">
        <v>145.699997</v>
      </c>
      <c r="C65">
        <v>151.699997</v>
      </c>
      <c r="D65">
        <v>151.699997</v>
      </c>
      <c r="E65">
        <f t="shared" si="13"/>
        <v>1.0747432054442738</v>
      </c>
      <c r="F65">
        <f t="shared" si="5"/>
        <v>2.204941720714749</v>
      </c>
      <c r="G65">
        <f t="shared" si="0"/>
        <v>7.4743205444273819E-2</v>
      </c>
      <c r="I65">
        <v>37.130001</v>
      </c>
      <c r="J65">
        <v>36.950001</v>
      </c>
      <c r="K65">
        <v>33.638911999999998</v>
      </c>
      <c r="L65">
        <f t="shared" si="14"/>
        <v>0.95182891040671536</v>
      </c>
      <c r="M65">
        <f t="shared" si="6"/>
        <v>0.53360574120379545</v>
      </c>
      <c r="N65">
        <f t="shared" si="7"/>
        <v>-4.8171089593284644E-2</v>
      </c>
      <c r="P65">
        <f t="shared" si="2"/>
        <v>2.7385474619185444</v>
      </c>
      <c r="Q65">
        <f t="shared" si="15"/>
        <v>4.8364348775719712E-2</v>
      </c>
      <c r="T65">
        <f t="shared" si="3"/>
        <v>0.80515008462553095</v>
      </c>
      <c r="U65">
        <f t="shared" si="4"/>
        <v>0.19484991537446908</v>
      </c>
      <c r="V65">
        <f t="shared" si="8"/>
        <v>4.8364348775719698E-2</v>
      </c>
      <c r="W65">
        <f t="shared" si="9"/>
        <v>1.3877787807814457E-17</v>
      </c>
      <c r="Y65">
        <f t="shared" si="10"/>
        <v>7.2081754387085861E-2</v>
      </c>
      <c r="Z65">
        <f t="shared" si="11"/>
        <v>-4.9369976300952439E-2</v>
      </c>
      <c r="AA65">
        <f t="shared" si="12"/>
        <v>4.7231186524286609E-2</v>
      </c>
    </row>
    <row r="66" spans="1:27" x14ac:dyDescent="0.3">
      <c r="A66" s="1">
        <v>43920</v>
      </c>
      <c r="B66">
        <v>160.759995</v>
      </c>
      <c r="C66">
        <v>150.88000500000001</v>
      </c>
      <c r="D66">
        <v>150.88000500000001</v>
      </c>
      <c r="E66">
        <f t="shared" si="13"/>
        <v>0.99459464722336166</v>
      </c>
      <c r="F66">
        <f t="shared" si="5"/>
        <v>2.193023232862358</v>
      </c>
      <c r="G66">
        <f t="shared" si="0"/>
        <v>-5.4053527766383391E-3</v>
      </c>
      <c r="I66">
        <v>36.229999999999997</v>
      </c>
      <c r="J66">
        <v>37.5</v>
      </c>
      <c r="K66">
        <v>34.139626</v>
      </c>
      <c r="L66">
        <f t="shared" si="14"/>
        <v>1.0148849641748223</v>
      </c>
      <c r="M66">
        <f t="shared" si="6"/>
        <v>0.54154844354509346</v>
      </c>
      <c r="N66">
        <f t="shared" si="7"/>
        <v>1.4884964174822324E-2</v>
      </c>
      <c r="P66">
        <f t="shared" si="2"/>
        <v>2.7345716764074517</v>
      </c>
      <c r="Q66">
        <f t="shared" si="15"/>
        <v>-1.451786235724839E-3</v>
      </c>
      <c r="T66">
        <f t="shared" si="3"/>
        <v>0.80196224212467748</v>
      </c>
      <c r="U66">
        <f t="shared" si="4"/>
        <v>0.19803775787532243</v>
      </c>
      <c r="V66">
        <f t="shared" si="8"/>
        <v>-1.4517862357250736E-3</v>
      </c>
      <c r="W66">
        <f t="shared" si="9"/>
        <v>2.3462135012586316E-16</v>
      </c>
      <c r="Y66">
        <f t="shared" si="10"/>
        <v>-5.4200145545476256E-3</v>
      </c>
      <c r="Z66">
        <f t="shared" si="11"/>
        <v>1.4775270282412496E-2</v>
      </c>
      <c r="AA66">
        <f t="shared" si="12"/>
        <v>-1.452841098442355E-3</v>
      </c>
    </row>
    <row r="67" spans="1:27" x14ac:dyDescent="0.3">
      <c r="A67" s="1">
        <v>43921</v>
      </c>
      <c r="B67">
        <v>147.020004</v>
      </c>
      <c r="C67">
        <v>146.11999499999999</v>
      </c>
      <c r="D67">
        <v>146.11999499999999</v>
      </c>
      <c r="E67">
        <f t="shared" si="13"/>
        <v>0.96845168450252883</v>
      </c>
      <c r="F67">
        <f t="shared" si="5"/>
        <v>2.1238370440187322</v>
      </c>
      <c r="G67">
        <f t="shared" si="0"/>
        <v>-3.1548315497471169E-2</v>
      </c>
      <c r="I67">
        <v>38.340000000000003</v>
      </c>
      <c r="J67">
        <v>37.970001000000003</v>
      </c>
      <c r="K67">
        <v>34.567512999999998</v>
      </c>
      <c r="L67">
        <f t="shared" si="14"/>
        <v>1.0125334413446707</v>
      </c>
      <c r="M67">
        <f t="shared" si="6"/>
        <v>0.54833590919756359</v>
      </c>
      <c r="N67">
        <f t="shared" si="7"/>
        <v>1.2533441344670715E-2</v>
      </c>
      <c r="P67">
        <f t="shared" si="2"/>
        <v>2.6721729532162959</v>
      </c>
      <c r="Q67">
        <f t="shared" si="15"/>
        <v>-2.2818463209248296E-2</v>
      </c>
      <c r="T67">
        <f t="shared" si="3"/>
        <v>0.79479774745209786</v>
      </c>
      <c r="U67">
        <f t="shared" si="4"/>
        <v>0.20520225254790206</v>
      </c>
      <c r="V67">
        <f t="shared" si="8"/>
        <v>-2.2818463209248234E-2</v>
      </c>
      <c r="W67">
        <f t="shared" si="9"/>
        <v>6.2450045135165055E-17</v>
      </c>
      <c r="Y67">
        <f t="shared" si="10"/>
        <v>-3.2056684315434771E-2</v>
      </c>
      <c r="Z67">
        <f t="shared" si="11"/>
        <v>1.2455547941692303E-2</v>
      </c>
      <c r="AA67">
        <f t="shared" si="12"/>
        <v>-2.3082833769317468E-2</v>
      </c>
    </row>
    <row r="68" spans="1:27" x14ac:dyDescent="0.3">
      <c r="A68" s="1">
        <v>43922</v>
      </c>
      <c r="B68">
        <v>144.5</v>
      </c>
      <c r="C68">
        <v>137</v>
      </c>
      <c r="D68">
        <v>137</v>
      </c>
      <c r="E68">
        <f t="shared" si="13"/>
        <v>0.9375855782091973</v>
      </c>
      <c r="F68">
        <f t="shared" si="5"/>
        <v>1.9912789829384154</v>
      </c>
      <c r="G68">
        <f t="shared" si="0"/>
        <v>-6.2414421790802699E-2</v>
      </c>
      <c r="I68">
        <v>36.860000999999997</v>
      </c>
      <c r="J68">
        <v>37.529998999999997</v>
      </c>
      <c r="K68">
        <v>34.166935000000002</v>
      </c>
      <c r="L68">
        <f t="shared" si="14"/>
        <v>0.98841172056549176</v>
      </c>
      <c r="M68">
        <f t="shared" si="6"/>
        <v>0.54198163945780709</v>
      </c>
      <c r="N68">
        <f t="shared" si="7"/>
        <v>-1.1588279434508242E-2</v>
      </c>
      <c r="P68">
        <f t="shared" si="2"/>
        <v>2.5332606223962224</v>
      </c>
      <c r="Q68">
        <f t="shared" si="15"/>
        <v>-5.198478289097086E-2</v>
      </c>
      <c r="T68">
        <f t="shared" si="3"/>
        <v>0.78605373854303862</v>
      </c>
      <c r="U68">
        <f t="shared" si="4"/>
        <v>0.21394626145696144</v>
      </c>
      <c r="V68">
        <f t="shared" si="8"/>
        <v>-5.1984782890970735E-2</v>
      </c>
      <c r="W68">
        <f t="shared" si="9"/>
        <v>1.2490009027033011E-16</v>
      </c>
      <c r="Y68">
        <f t="shared" si="10"/>
        <v>-6.4447241880505532E-2</v>
      </c>
      <c r="Z68">
        <f t="shared" si="11"/>
        <v>-1.1655946818308944E-2</v>
      </c>
      <c r="AA68">
        <f t="shared" si="12"/>
        <v>-5.3384725053170698E-2</v>
      </c>
    </row>
    <row r="69" spans="1:27" x14ac:dyDescent="0.3">
      <c r="A69" s="1">
        <v>43923</v>
      </c>
      <c r="B69">
        <v>125.300003</v>
      </c>
      <c r="C69">
        <v>121.93</v>
      </c>
      <c r="D69">
        <v>121.93</v>
      </c>
      <c r="E69">
        <f t="shared" si="13"/>
        <v>0.89</v>
      </c>
      <c r="F69">
        <f t="shared" si="5"/>
        <v>1.7722382948151898</v>
      </c>
      <c r="G69">
        <f t="shared" si="0"/>
        <v>-0.10999999999999999</v>
      </c>
      <c r="I69">
        <v>38.740001999999997</v>
      </c>
      <c r="J69">
        <v>40.400002000000001</v>
      </c>
      <c r="K69">
        <v>36.779761999999998</v>
      </c>
      <c r="L69">
        <f t="shared" si="14"/>
        <v>1.0764723847778561</v>
      </c>
      <c r="M69">
        <f t="shared" si="6"/>
        <v>0.58342826793295777</v>
      </c>
      <c r="N69">
        <f t="shared" si="7"/>
        <v>7.6472384777856117E-2</v>
      </c>
      <c r="P69">
        <f t="shared" si="2"/>
        <v>2.3556665627481475</v>
      </c>
      <c r="Q69">
        <f t="shared" si="15"/>
        <v>-7.0104930411813648E-2</v>
      </c>
      <c r="T69">
        <f t="shared" si="3"/>
        <v>0.75232985976915023</v>
      </c>
      <c r="U69">
        <f t="shared" si="4"/>
        <v>0.24767014023084985</v>
      </c>
      <c r="V69">
        <f t="shared" si="8"/>
        <v>-7.0104930411813676E-2</v>
      </c>
      <c r="W69">
        <f t="shared" si="9"/>
        <v>2.7755575615628914E-17</v>
      </c>
      <c r="Y69">
        <f t="shared" si="10"/>
        <v>-0.11653381625595151</v>
      </c>
      <c r="Z69">
        <f t="shared" si="11"/>
        <v>7.3689384709086425E-2</v>
      </c>
      <c r="AA69">
        <f t="shared" si="12"/>
        <v>-7.2683527600237774E-2</v>
      </c>
    </row>
    <row r="70" spans="1:27" x14ac:dyDescent="0.3">
      <c r="A70" s="1">
        <v>43924</v>
      </c>
      <c r="B70">
        <v>124.300003</v>
      </c>
      <c r="C70">
        <v>128.199997</v>
      </c>
      <c r="D70">
        <v>128.199997</v>
      </c>
      <c r="E70">
        <f t="shared" si="13"/>
        <v>1.0514229229885999</v>
      </c>
      <c r="F70">
        <f t="shared" si="5"/>
        <v>1.8633719681669187</v>
      </c>
      <c r="G70">
        <f t="shared" si="0"/>
        <v>5.1422922988599851E-2</v>
      </c>
      <c r="I70">
        <v>41.450001</v>
      </c>
      <c r="J70">
        <v>39.209999000000003</v>
      </c>
      <c r="K70">
        <v>35.696392000000003</v>
      </c>
      <c r="L70">
        <f t="shared" si="14"/>
        <v>0.97054439884630039</v>
      </c>
      <c r="M70">
        <f t="shared" si="6"/>
        <v>0.56624303757093075</v>
      </c>
      <c r="N70">
        <f t="shared" si="7"/>
        <v>-2.9455601153699607E-2</v>
      </c>
      <c r="P70">
        <f t="shared" ref="P70:P133" si="16">F70+M70</f>
        <v>2.4296150057378494</v>
      </c>
      <c r="Q70">
        <f t="shared" si="15"/>
        <v>3.1391727572612327E-2</v>
      </c>
      <c r="T70">
        <f t="shared" ref="T70:T133" si="17">F70/P70</f>
        <v>0.76694124944335851</v>
      </c>
      <c r="U70">
        <f t="shared" ref="U70:U133" si="18">M70/P70</f>
        <v>0.23305875055664158</v>
      </c>
      <c r="V70">
        <f t="shared" si="8"/>
        <v>3.1391727572612368E-2</v>
      </c>
      <c r="W70">
        <f t="shared" si="9"/>
        <v>4.163336342344337E-17</v>
      </c>
      <c r="Y70">
        <f t="shared" si="10"/>
        <v>5.0144411513459809E-2</v>
      </c>
      <c r="Z70">
        <f t="shared" si="11"/>
        <v>-2.9898128994666411E-2</v>
      </c>
      <c r="AA70">
        <f t="shared" si="12"/>
        <v>3.0909082021416606E-2</v>
      </c>
    </row>
    <row r="71" spans="1:27" x14ac:dyDescent="0.3">
      <c r="A71" s="1">
        <v>43927</v>
      </c>
      <c r="B71">
        <v>113.629997</v>
      </c>
      <c r="C71">
        <v>122.94000200000001</v>
      </c>
      <c r="D71">
        <v>122.94000200000001</v>
      </c>
      <c r="E71">
        <f t="shared" si="13"/>
        <v>0.95897039685578156</v>
      </c>
      <c r="F71">
        <f t="shared" ref="F71:F134" si="19">F70*E71</f>
        <v>1.7869185558029688</v>
      </c>
      <c r="G71">
        <f t="shared" ref="G71:G134" si="20">E71-1</f>
        <v>-4.1029603144218441E-2</v>
      </c>
      <c r="I71">
        <v>39.880001</v>
      </c>
      <c r="J71">
        <v>40.470001000000003</v>
      </c>
      <c r="K71">
        <v>36.843487000000003</v>
      </c>
      <c r="L71">
        <f t="shared" si="14"/>
        <v>1.0321347602861377</v>
      </c>
      <c r="M71">
        <f t="shared" ref="M71:M134" si="21">M70*L71</f>
        <v>0.58443912184696711</v>
      </c>
      <c r="N71">
        <f t="shared" ref="N71:N134" si="22">L71-1</f>
        <v>3.2134760286137709E-2</v>
      </c>
      <c r="P71">
        <f t="shared" si="16"/>
        <v>2.3713576776499359</v>
      </c>
      <c r="Q71">
        <f t="shared" si="15"/>
        <v>-2.3978008017867536E-2</v>
      </c>
      <c r="T71">
        <f t="shared" si="17"/>
        <v>0.75354240005406592</v>
      </c>
      <c r="U71">
        <f t="shared" si="18"/>
        <v>0.24645759994593405</v>
      </c>
      <c r="V71">
        <f t="shared" ref="V71:V134" si="23">T70*G71+U70*N71</f>
        <v>-2.3978008017867602E-2</v>
      </c>
      <c r="W71">
        <f t="shared" ref="W71:W134" si="24">ABS(V71-Q71)</f>
        <v>6.591949208711867E-17</v>
      </c>
      <c r="Y71">
        <f t="shared" ref="Y71:Y134" si="25">LN(1+G71)</f>
        <v>-4.1895073338671797E-2</v>
      </c>
      <c r="Z71">
        <f t="shared" ref="Z71:Z134" si="26">LN(1+N71)</f>
        <v>3.1629240206940572E-2</v>
      </c>
      <c r="AA71">
        <f t="shared" ref="AA71:AA134" si="27">LN(1+Q71)</f>
        <v>-2.4270160054325238E-2</v>
      </c>
    </row>
    <row r="72" spans="1:27" x14ac:dyDescent="0.3">
      <c r="A72" s="1">
        <v>43928</v>
      </c>
      <c r="B72">
        <v>118.004997</v>
      </c>
      <c r="C72">
        <v>113.75</v>
      </c>
      <c r="D72">
        <v>113.75</v>
      </c>
      <c r="E72">
        <f t="shared" ref="E72:E135" si="28">D72/D71</f>
        <v>0.9252480734464279</v>
      </c>
      <c r="F72">
        <f t="shared" si="19"/>
        <v>1.6533429511623701</v>
      </c>
      <c r="G72">
        <f t="shared" si="20"/>
        <v>-7.4751926553572101E-2</v>
      </c>
      <c r="I72">
        <v>42.900002000000001</v>
      </c>
      <c r="J72">
        <v>41.240001999999997</v>
      </c>
      <c r="K72">
        <v>37.544491000000001</v>
      </c>
      <c r="L72">
        <f t="shared" ref="L72:L135" si="29">K72/K71</f>
        <v>1.0190265378518597</v>
      </c>
      <c r="M72">
        <f t="shared" si="21"/>
        <v>0.59555897492089604</v>
      </c>
      <c r="N72">
        <f t="shared" si="22"/>
        <v>1.9026537851859704E-2</v>
      </c>
      <c r="P72">
        <f t="shared" si="16"/>
        <v>2.2489019260832661</v>
      </c>
      <c r="Q72">
        <f t="shared" ref="Q72:Q135" si="30">(P72/P71)-1</f>
        <v>-5.1639511289594209E-2</v>
      </c>
      <c r="T72">
        <f t="shared" si="17"/>
        <v>0.73517788036309173</v>
      </c>
      <c r="U72">
        <f t="shared" si="18"/>
        <v>0.26482211963690822</v>
      </c>
      <c r="V72">
        <f t="shared" si="23"/>
        <v>-5.1639511289594174E-2</v>
      </c>
      <c r="W72">
        <f t="shared" si="24"/>
        <v>3.4694469519536142E-17</v>
      </c>
      <c r="Y72">
        <f t="shared" si="25"/>
        <v>-7.7693389915901787E-2</v>
      </c>
      <c r="Z72">
        <f t="shared" si="26"/>
        <v>1.8847796935683551E-2</v>
      </c>
      <c r="AA72">
        <f t="shared" si="27"/>
        <v>-5.3020586655771633E-2</v>
      </c>
    </row>
    <row r="73" spans="1:27" x14ac:dyDescent="0.3">
      <c r="A73" s="1">
        <v>43929</v>
      </c>
      <c r="B73">
        <v>115.019997</v>
      </c>
      <c r="C73">
        <v>117.80999799999999</v>
      </c>
      <c r="D73">
        <v>117.80999799999999</v>
      </c>
      <c r="E73">
        <f t="shared" si="28"/>
        <v>1.0356922901098899</v>
      </c>
      <c r="F73">
        <f t="shared" si="19"/>
        <v>1.712354547426399</v>
      </c>
      <c r="G73">
        <f t="shared" si="20"/>
        <v>3.5692290109889946E-2</v>
      </c>
      <c r="I73">
        <v>41.950001</v>
      </c>
      <c r="J73">
        <v>43.849997999999999</v>
      </c>
      <c r="K73">
        <v>39.920600999999998</v>
      </c>
      <c r="L73">
        <f t="shared" si="29"/>
        <v>1.063287846944043</v>
      </c>
      <c r="M73">
        <f t="shared" si="21"/>
        <v>0.63325062017184086</v>
      </c>
      <c r="N73">
        <f t="shared" si="22"/>
        <v>6.3287846944042991E-2</v>
      </c>
      <c r="P73">
        <f t="shared" si="16"/>
        <v>2.3456051675982401</v>
      </c>
      <c r="Q73">
        <f t="shared" si="30"/>
        <v>4.3000203963271311E-2</v>
      </c>
      <c r="T73">
        <f t="shared" si="17"/>
        <v>0.73002676285018075</v>
      </c>
      <c r="U73">
        <f t="shared" si="18"/>
        <v>0.26997323714981908</v>
      </c>
      <c r="V73">
        <f t="shared" si="23"/>
        <v>4.3000203963271123E-2</v>
      </c>
      <c r="W73">
        <f t="shared" si="24"/>
        <v>1.8735013540549517E-16</v>
      </c>
      <c r="Y73">
        <f t="shared" si="25"/>
        <v>3.5070082450480281E-2</v>
      </c>
      <c r="Z73">
        <f t="shared" si="26"/>
        <v>6.1365850045062738E-2</v>
      </c>
      <c r="AA73">
        <f t="shared" si="27"/>
        <v>4.210137157304706E-2</v>
      </c>
    </row>
    <row r="74" spans="1:27" x14ac:dyDescent="0.3">
      <c r="A74" s="1">
        <v>43930</v>
      </c>
      <c r="B74">
        <v>117.800003</v>
      </c>
      <c r="C74">
        <v>124.510002</v>
      </c>
      <c r="D74">
        <v>124.510002</v>
      </c>
      <c r="E74">
        <f t="shared" si="28"/>
        <v>1.0568712682602712</v>
      </c>
      <c r="F74">
        <f t="shared" si="19"/>
        <v>1.8097383222497812</v>
      </c>
      <c r="G74">
        <f t="shared" si="20"/>
        <v>5.6871268260271224E-2</v>
      </c>
      <c r="I74">
        <v>45.459999000000003</v>
      </c>
      <c r="J74">
        <v>43.130001</v>
      </c>
      <c r="K74">
        <v>39.265121000000001</v>
      </c>
      <c r="L74">
        <f t="shared" si="29"/>
        <v>0.98358040751941589</v>
      </c>
      <c r="M74">
        <f t="shared" si="21"/>
        <v>0.62285290305054208</v>
      </c>
      <c r="N74">
        <f t="shared" si="22"/>
        <v>-1.6419592480584111E-2</v>
      </c>
      <c r="P74">
        <f t="shared" si="16"/>
        <v>2.4325912253003232</v>
      </c>
      <c r="Q74">
        <f t="shared" si="30"/>
        <v>3.7084697332565808E-2</v>
      </c>
      <c r="T74">
        <f t="shared" si="17"/>
        <v>0.74395496597516264</v>
      </c>
      <c r="U74">
        <f t="shared" si="18"/>
        <v>0.25604503402483736</v>
      </c>
      <c r="V74">
        <f t="shared" si="23"/>
        <v>3.7084697332565912E-2</v>
      </c>
      <c r="W74">
        <f t="shared" si="24"/>
        <v>1.0408340855860843E-16</v>
      </c>
      <c r="Y74">
        <f t="shared" si="25"/>
        <v>5.5312909745747763E-2</v>
      </c>
      <c r="Z74">
        <f t="shared" si="26"/>
        <v>-1.6555887993210092E-2</v>
      </c>
      <c r="AA74">
        <f t="shared" si="27"/>
        <v>3.641360125694882E-2</v>
      </c>
    </row>
    <row r="75" spans="1:27" x14ac:dyDescent="0.3">
      <c r="A75" s="1">
        <v>43934</v>
      </c>
      <c r="B75">
        <v>127</v>
      </c>
      <c r="C75">
        <v>135.91999799999999</v>
      </c>
      <c r="D75">
        <v>135.91999799999999</v>
      </c>
      <c r="E75">
        <f t="shared" si="28"/>
        <v>1.0916391921670678</v>
      </c>
      <c r="F75">
        <f t="shared" si="19"/>
        <v>1.9755812801345358</v>
      </c>
      <c r="G75">
        <f t="shared" si="20"/>
        <v>9.163919216706784E-2</v>
      </c>
      <c r="I75">
        <v>44.450001</v>
      </c>
      <c r="J75">
        <v>42.759998000000003</v>
      </c>
      <c r="K75">
        <v>38.928275999999997</v>
      </c>
      <c r="L75">
        <f t="shared" si="29"/>
        <v>0.99142126672677255</v>
      </c>
      <c r="M75">
        <f t="shared" si="21"/>
        <v>0.61750961412681604</v>
      </c>
      <c r="N75">
        <f t="shared" si="22"/>
        <v>-8.5787332732274457E-3</v>
      </c>
      <c r="P75">
        <f t="shared" si="16"/>
        <v>2.5930908942613518</v>
      </c>
      <c r="Q75">
        <f t="shared" si="30"/>
        <v>6.5978890037808657E-2</v>
      </c>
      <c r="T75">
        <f t="shared" si="17"/>
        <v>0.76186349059595337</v>
      </c>
      <c r="U75">
        <f t="shared" si="18"/>
        <v>0.23813650940404663</v>
      </c>
      <c r="V75">
        <f t="shared" si="23"/>
        <v>6.5978890037808824E-2</v>
      </c>
      <c r="W75">
        <f t="shared" si="24"/>
        <v>1.6653345369377348E-16</v>
      </c>
      <c r="Y75">
        <f t="shared" si="25"/>
        <v>8.7680412621850654E-2</v>
      </c>
      <c r="Z75">
        <f t="shared" si="26"/>
        <v>-8.6157424185833095E-3</v>
      </c>
      <c r="AA75">
        <f t="shared" si="27"/>
        <v>6.3893522581163084E-2</v>
      </c>
    </row>
    <row r="76" spans="1:27" x14ac:dyDescent="0.3">
      <c r="A76" s="1">
        <v>43935</v>
      </c>
      <c r="B76">
        <v>141.070007</v>
      </c>
      <c r="C76">
        <v>141.88999899999999</v>
      </c>
      <c r="D76">
        <v>141.88999899999999</v>
      </c>
      <c r="E76">
        <f t="shared" si="28"/>
        <v>1.0439229038246454</v>
      </c>
      <c r="F76">
        <f t="shared" si="19"/>
        <v>2.0623545466996549</v>
      </c>
      <c r="G76">
        <f t="shared" si="20"/>
        <v>4.3922903824645365E-2</v>
      </c>
      <c r="I76">
        <v>43</v>
      </c>
      <c r="J76">
        <v>42.43</v>
      </c>
      <c r="K76">
        <v>38.627850000000002</v>
      </c>
      <c r="L76">
        <f t="shared" si="29"/>
        <v>0.99228257629492778</v>
      </c>
      <c r="M76">
        <f t="shared" si="21"/>
        <v>0.61274403079264372</v>
      </c>
      <c r="N76">
        <f t="shared" si="22"/>
        <v>-7.7174237050722239E-3</v>
      </c>
      <c r="P76">
        <f t="shared" si="16"/>
        <v>2.6750985774922986</v>
      </c>
      <c r="Q76">
        <f t="shared" si="30"/>
        <v>3.1625456482236691E-2</v>
      </c>
      <c r="T76">
        <f t="shared" si="17"/>
        <v>0.77094525190655039</v>
      </c>
      <c r="U76">
        <f t="shared" si="18"/>
        <v>0.22905474809344956</v>
      </c>
      <c r="V76">
        <f t="shared" si="23"/>
        <v>3.1625456482236726E-2</v>
      </c>
      <c r="W76">
        <f t="shared" si="24"/>
        <v>3.4694469519536142E-17</v>
      </c>
      <c r="Y76">
        <f t="shared" si="25"/>
        <v>4.2985639822370351E-2</v>
      </c>
      <c r="Z76">
        <f t="shared" si="26"/>
        <v>-7.7473571247696441E-3</v>
      </c>
      <c r="AA76">
        <f t="shared" si="27"/>
        <v>3.1135671419150072E-2</v>
      </c>
    </row>
    <row r="77" spans="1:27" x14ac:dyDescent="0.3">
      <c r="A77" s="1">
        <v>43936</v>
      </c>
      <c r="B77">
        <v>141.71000699999999</v>
      </c>
      <c r="C77">
        <v>151.55999800000001</v>
      </c>
      <c r="D77">
        <v>151.55999800000001</v>
      </c>
      <c r="E77">
        <f t="shared" si="28"/>
        <v>1.0681513783082064</v>
      </c>
      <c r="F77">
        <f t="shared" si="19"/>
        <v>2.2029068516174326</v>
      </c>
      <c r="G77">
        <f t="shared" si="20"/>
        <v>6.815137830820639E-2</v>
      </c>
      <c r="I77">
        <v>41</v>
      </c>
      <c r="J77">
        <v>40.479999999999997</v>
      </c>
      <c r="K77">
        <v>36.852584999999998</v>
      </c>
      <c r="L77">
        <f t="shared" si="29"/>
        <v>0.95404183768964612</v>
      </c>
      <c r="M77">
        <f t="shared" si="21"/>
        <v>0.58458344117077488</v>
      </c>
      <c r="N77">
        <f t="shared" si="22"/>
        <v>-4.5958162310353878E-2</v>
      </c>
      <c r="P77">
        <f t="shared" si="16"/>
        <v>2.7874902927882075</v>
      </c>
      <c r="Q77">
        <f t="shared" si="30"/>
        <v>4.2014046226762858E-2</v>
      </c>
      <c r="T77">
        <f t="shared" si="17"/>
        <v>0.7902832369737004</v>
      </c>
      <c r="U77">
        <f t="shared" si="18"/>
        <v>0.20971676302629955</v>
      </c>
      <c r="V77">
        <f t="shared" si="23"/>
        <v>4.2014046226762816E-2</v>
      </c>
      <c r="W77">
        <f t="shared" si="24"/>
        <v>4.163336342344337E-17</v>
      </c>
      <c r="Y77">
        <f t="shared" si="25"/>
        <v>6.5929470482797251E-2</v>
      </c>
      <c r="Z77">
        <f t="shared" si="26"/>
        <v>-4.7047753474860406E-2</v>
      </c>
      <c r="AA77">
        <f t="shared" si="27"/>
        <v>4.1155423304391772E-2</v>
      </c>
    </row>
    <row r="78" spans="1:27" x14ac:dyDescent="0.3">
      <c r="A78" s="1">
        <v>43937</v>
      </c>
      <c r="B78">
        <v>149.91999799999999</v>
      </c>
      <c r="C78">
        <v>150.259995</v>
      </c>
      <c r="D78">
        <v>150.259995</v>
      </c>
      <c r="E78">
        <f t="shared" si="28"/>
        <v>0.99142251902114698</v>
      </c>
      <c r="F78">
        <f t="shared" si="19"/>
        <v>2.1840114599994989</v>
      </c>
      <c r="G78">
        <f t="shared" si="20"/>
        <v>-8.5774809788530249E-3</v>
      </c>
      <c r="I78">
        <v>40.479999999999997</v>
      </c>
      <c r="J78">
        <v>39.150002000000001</v>
      </c>
      <c r="K78">
        <v>35.641773000000001</v>
      </c>
      <c r="L78">
        <f t="shared" si="29"/>
        <v>0.96714444861873339</v>
      </c>
      <c r="M78">
        <f t="shared" si="21"/>
        <v>0.56537662988275084</v>
      </c>
      <c r="N78">
        <f t="shared" si="22"/>
        <v>-3.2855551381266612E-2</v>
      </c>
      <c r="P78">
        <f t="shared" si="16"/>
        <v>2.7493880898822498</v>
      </c>
      <c r="Q78">
        <f t="shared" si="30"/>
        <v>-1.3668999316171826E-2</v>
      </c>
      <c r="T78">
        <f t="shared" si="17"/>
        <v>0.7943627413083888</v>
      </c>
      <c r="U78">
        <f t="shared" si="18"/>
        <v>0.20563725869161115</v>
      </c>
      <c r="V78">
        <f t="shared" si="23"/>
        <v>-1.3668999316171812E-2</v>
      </c>
      <c r="W78">
        <f t="shared" si="24"/>
        <v>1.3877787807814457E-17</v>
      </c>
      <c r="Y78">
        <f t="shared" si="25"/>
        <v>-8.6144792889475599E-3</v>
      </c>
      <c r="Z78">
        <f t="shared" si="26"/>
        <v>-3.340741658874153E-2</v>
      </c>
      <c r="AA78">
        <f t="shared" si="27"/>
        <v>-1.3763280223606024E-2</v>
      </c>
    </row>
    <row r="79" spans="1:27" x14ac:dyDescent="0.3">
      <c r="A79" s="1">
        <v>43938</v>
      </c>
      <c r="B79">
        <v>147.91000399999999</v>
      </c>
      <c r="C79">
        <v>150.05999800000001</v>
      </c>
      <c r="D79">
        <v>150.05999800000001</v>
      </c>
      <c r="E79">
        <f t="shared" si="28"/>
        <v>0.99866899369988671</v>
      </c>
      <c r="F79">
        <f t="shared" si="19"/>
        <v>2.18110452698672</v>
      </c>
      <c r="G79">
        <f t="shared" si="20"/>
        <v>-1.331006300113291E-3</v>
      </c>
      <c r="I79">
        <v>39.880001</v>
      </c>
      <c r="J79">
        <v>43.220001000000003</v>
      </c>
      <c r="K79">
        <v>39.347057</v>
      </c>
      <c r="L79">
        <f t="shared" si="29"/>
        <v>1.1039590258318519</v>
      </c>
      <c r="M79">
        <f t="shared" si="21"/>
        <v>0.62415263355345707</v>
      </c>
      <c r="N79">
        <f t="shared" si="22"/>
        <v>0.1039590258318519</v>
      </c>
      <c r="P79">
        <f t="shared" si="16"/>
        <v>2.8052571605401768</v>
      </c>
      <c r="Q79">
        <f t="shared" si="30"/>
        <v>2.0320547275055612E-2</v>
      </c>
      <c r="T79">
        <f t="shared" si="17"/>
        <v>0.77750609023193051</v>
      </c>
      <c r="U79">
        <f t="shared" si="18"/>
        <v>0.22249390976806954</v>
      </c>
      <c r="V79">
        <f t="shared" si="23"/>
        <v>2.0320547275055688E-2</v>
      </c>
      <c r="W79">
        <f t="shared" si="24"/>
        <v>7.6327832942979512E-17</v>
      </c>
      <c r="Y79">
        <f t="shared" si="25"/>
        <v>-1.3318928757779448E-3</v>
      </c>
      <c r="Z79">
        <f t="shared" si="26"/>
        <v>9.890283288340869E-2</v>
      </c>
      <c r="AA79">
        <f t="shared" si="27"/>
        <v>2.0116839960577972E-2</v>
      </c>
    </row>
    <row r="80" spans="1:27" x14ac:dyDescent="0.3">
      <c r="A80" s="1">
        <v>43941</v>
      </c>
      <c r="B80">
        <v>153.300003</v>
      </c>
      <c r="C80">
        <v>148.990005</v>
      </c>
      <c r="D80">
        <v>148.990005</v>
      </c>
      <c r="E80">
        <f t="shared" si="28"/>
        <v>0.99286956541209592</v>
      </c>
      <c r="F80">
        <f t="shared" si="19"/>
        <v>2.1655523038276598</v>
      </c>
      <c r="G80">
        <f t="shared" si="20"/>
        <v>-7.1304345879040776E-3</v>
      </c>
      <c r="I80">
        <v>40.75</v>
      </c>
      <c r="J80">
        <v>41.18</v>
      </c>
      <c r="K80">
        <v>37.489860999999998</v>
      </c>
      <c r="L80">
        <f t="shared" si="29"/>
        <v>0.95279962107458249</v>
      </c>
      <c r="M80">
        <f t="shared" si="21"/>
        <v>0.59469239274243668</v>
      </c>
      <c r="N80">
        <f t="shared" si="22"/>
        <v>-4.7200378925417508E-2</v>
      </c>
      <c r="P80">
        <f t="shared" si="16"/>
        <v>2.7602446965700964</v>
      </c>
      <c r="Q80">
        <f t="shared" si="30"/>
        <v>-1.6045753167746257E-2</v>
      </c>
      <c r="T80">
        <f t="shared" si="17"/>
        <v>0.78455084308959766</v>
      </c>
      <c r="U80">
        <f t="shared" si="18"/>
        <v>0.21544915691040237</v>
      </c>
      <c r="V80">
        <f t="shared" si="23"/>
        <v>-1.6045753167746361E-2</v>
      </c>
      <c r="W80">
        <f t="shared" si="24"/>
        <v>1.0408340855860843E-16</v>
      </c>
      <c r="Y80">
        <f t="shared" si="25"/>
        <v>-7.1559776310340245E-3</v>
      </c>
      <c r="Z80">
        <f t="shared" si="26"/>
        <v>-4.8350658637827622E-2</v>
      </c>
      <c r="AA80">
        <f t="shared" si="27"/>
        <v>-1.6175880132601652E-2</v>
      </c>
    </row>
    <row r="81" spans="1:27" x14ac:dyDescent="0.3">
      <c r="A81" s="1">
        <v>43942</v>
      </c>
      <c r="B81">
        <v>151.41999799999999</v>
      </c>
      <c r="C81">
        <v>143.270004</v>
      </c>
      <c r="D81">
        <v>143.270004</v>
      </c>
      <c r="E81">
        <f t="shared" si="28"/>
        <v>0.96160815619812889</v>
      </c>
      <c r="F81">
        <f t="shared" si="19"/>
        <v>2.0824127580343261</v>
      </c>
      <c r="G81">
        <f t="shared" si="20"/>
        <v>-3.8391843801871106E-2</v>
      </c>
      <c r="I81">
        <v>40.400002000000001</v>
      </c>
      <c r="J81">
        <v>40.959999000000003</v>
      </c>
      <c r="K81">
        <v>37.289577000000001</v>
      </c>
      <c r="L81">
        <f t="shared" si="29"/>
        <v>0.99465764890405983</v>
      </c>
      <c r="M81">
        <f t="shared" si="21"/>
        <v>0.59151533718632188</v>
      </c>
      <c r="N81">
        <f t="shared" si="22"/>
        <v>-5.3423510959401677E-3</v>
      </c>
      <c r="P81">
        <f t="shared" si="16"/>
        <v>2.6739280952206479</v>
      </c>
      <c r="Q81">
        <f t="shared" si="30"/>
        <v>-3.127135846206186E-2</v>
      </c>
      <c r="T81">
        <f t="shared" si="17"/>
        <v>0.77878412727567714</v>
      </c>
      <c r="U81">
        <f t="shared" si="18"/>
        <v>0.22121587272432286</v>
      </c>
      <c r="V81">
        <f t="shared" si="23"/>
        <v>-3.1271358462061791E-2</v>
      </c>
      <c r="W81">
        <f t="shared" si="24"/>
        <v>6.9388939039072284E-17</v>
      </c>
      <c r="Y81">
        <f t="shared" si="25"/>
        <v>-3.9148233333952814E-2</v>
      </c>
      <c r="Z81">
        <f t="shared" si="26"/>
        <v>-5.3566724829140931E-3</v>
      </c>
      <c r="AA81">
        <f t="shared" si="27"/>
        <v>-3.1770746002337799E-2</v>
      </c>
    </row>
    <row r="82" spans="1:27" x14ac:dyDescent="0.3">
      <c r="A82" s="1">
        <v>43943</v>
      </c>
      <c r="B82">
        <v>147.10000600000001</v>
      </c>
      <c r="C82">
        <v>150.25</v>
      </c>
      <c r="D82">
        <v>150.25</v>
      </c>
      <c r="E82">
        <f t="shared" si="28"/>
        <v>1.0487191722281239</v>
      </c>
      <c r="F82">
        <f t="shared" si="19"/>
        <v>2.1838661838430431</v>
      </c>
      <c r="G82">
        <f t="shared" si="20"/>
        <v>4.8719172228123941E-2</v>
      </c>
      <c r="I82">
        <v>42.599997999999999</v>
      </c>
      <c r="J82">
        <v>42.130001</v>
      </c>
      <c r="K82">
        <v>38.354728999999999</v>
      </c>
      <c r="L82">
        <f t="shared" si="29"/>
        <v>1.0285643358196312</v>
      </c>
      <c r="M82">
        <f t="shared" si="21"/>
        <v>0.60841157992017436</v>
      </c>
      <c r="N82">
        <f t="shared" si="22"/>
        <v>2.8564335819631248E-2</v>
      </c>
      <c r="P82">
        <f t="shared" si="16"/>
        <v>2.7922777637632175</v>
      </c>
      <c r="Q82">
        <f t="shared" si="30"/>
        <v>4.4260602502403268E-2</v>
      </c>
      <c r="T82">
        <f t="shared" si="17"/>
        <v>0.78210922000102023</v>
      </c>
      <c r="U82">
        <f t="shared" si="18"/>
        <v>0.21789077999897974</v>
      </c>
      <c r="V82">
        <f t="shared" si="23"/>
        <v>4.4260602502403268E-2</v>
      </c>
      <c r="W82">
        <f t="shared" si="24"/>
        <v>0</v>
      </c>
      <c r="Y82">
        <f t="shared" si="25"/>
        <v>4.7569583590723295E-2</v>
      </c>
      <c r="Z82">
        <f t="shared" si="26"/>
        <v>2.8163981212006597E-2</v>
      </c>
      <c r="AA82">
        <f t="shared" si="27"/>
        <v>4.3309077565919847E-2</v>
      </c>
    </row>
    <row r="83" spans="1:27" x14ac:dyDescent="0.3">
      <c r="A83" s="1">
        <v>43944</v>
      </c>
      <c r="B83">
        <v>154.009995</v>
      </c>
      <c r="C83">
        <v>169.08999600000001</v>
      </c>
      <c r="D83">
        <v>169.08999600000001</v>
      </c>
      <c r="E83">
        <f t="shared" si="28"/>
        <v>1.1253909883527455</v>
      </c>
      <c r="F83">
        <f t="shared" si="19"/>
        <v>2.4577033230652607</v>
      </c>
      <c r="G83">
        <f t="shared" si="20"/>
        <v>0.12539098835274554</v>
      </c>
      <c r="I83">
        <v>43.130001</v>
      </c>
      <c r="J83">
        <v>43.450001</v>
      </c>
      <c r="K83">
        <v>39.556449999999998</v>
      </c>
      <c r="L83">
        <f t="shared" si="29"/>
        <v>1.0313317557269144</v>
      </c>
      <c r="M83">
        <f t="shared" si="21"/>
        <v>0.62747418292365931</v>
      </c>
      <c r="N83">
        <f t="shared" si="22"/>
        <v>3.1331755726914379E-2</v>
      </c>
      <c r="P83">
        <f t="shared" si="16"/>
        <v>3.0851775059889199</v>
      </c>
      <c r="Q83">
        <f t="shared" si="30"/>
        <v>0.10489634878979759</v>
      </c>
      <c r="T83">
        <f t="shared" si="17"/>
        <v>0.79661650530460182</v>
      </c>
      <c r="U83">
        <f t="shared" si="18"/>
        <v>0.20338349469539818</v>
      </c>
      <c r="V83">
        <f t="shared" si="23"/>
        <v>0.1048963487897977</v>
      </c>
      <c r="W83">
        <f t="shared" si="24"/>
        <v>1.1102230246251565E-16</v>
      </c>
      <c r="Y83">
        <f t="shared" si="25"/>
        <v>0.11813052047897947</v>
      </c>
      <c r="Z83">
        <f t="shared" si="26"/>
        <v>3.0850933805041121E-2</v>
      </c>
      <c r="AA83">
        <f t="shared" si="27"/>
        <v>9.9751528569850201E-2</v>
      </c>
    </row>
    <row r="84" spans="1:27" x14ac:dyDescent="0.3">
      <c r="A84" s="1">
        <v>43945</v>
      </c>
      <c r="B84">
        <v>177.14999399999999</v>
      </c>
      <c r="C84">
        <v>158.800003</v>
      </c>
      <c r="D84">
        <v>158.800003</v>
      </c>
      <c r="E84">
        <f t="shared" si="28"/>
        <v>0.93914487407049196</v>
      </c>
      <c r="F84">
        <f t="shared" si="19"/>
        <v>2.308139477842754</v>
      </c>
      <c r="G84">
        <f t="shared" si="20"/>
        <v>-6.0855125929508036E-2</v>
      </c>
      <c r="I84">
        <v>44.400002000000001</v>
      </c>
      <c r="J84">
        <v>43.73</v>
      </c>
      <c r="K84">
        <v>39.811359000000003</v>
      </c>
      <c r="L84">
        <f t="shared" si="29"/>
        <v>1.006444182933504</v>
      </c>
      <c r="M84">
        <f t="shared" si="21"/>
        <v>0.63151774134447036</v>
      </c>
      <c r="N84">
        <f t="shared" si="22"/>
        <v>6.4441829335040168E-3</v>
      </c>
      <c r="P84">
        <f t="shared" si="16"/>
        <v>2.9396572191872243</v>
      </c>
      <c r="Q84">
        <f t="shared" si="30"/>
        <v>-4.716755730236355E-2</v>
      </c>
      <c r="T84">
        <f t="shared" si="17"/>
        <v>0.78517300002784796</v>
      </c>
      <c r="U84">
        <f t="shared" si="18"/>
        <v>0.21482699997215204</v>
      </c>
      <c r="V84">
        <f t="shared" si="23"/>
        <v>-4.7167557302363661E-2</v>
      </c>
      <c r="W84">
        <f t="shared" si="24"/>
        <v>1.1102230246251565E-16</v>
      </c>
      <c r="Y84">
        <f t="shared" si="25"/>
        <v>-6.2785526189573573E-2</v>
      </c>
      <c r="Z84">
        <f t="shared" si="26"/>
        <v>6.4235079613300548E-3</v>
      </c>
      <c r="AA84">
        <f t="shared" si="27"/>
        <v>-4.8316211670145694E-2</v>
      </c>
    </row>
    <row r="85" spans="1:27" x14ac:dyDescent="0.3">
      <c r="A85" s="1">
        <v>43948</v>
      </c>
      <c r="B85">
        <v>156.58999600000001</v>
      </c>
      <c r="C85">
        <v>164.60000600000001</v>
      </c>
      <c r="D85">
        <v>164.60000600000001</v>
      </c>
      <c r="E85">
        <f t="shared" si="28"/>
        <v>1.0365239476727215</v>
      </c>
      <c r="F85">
        <f t="shared" si="19"/>
        <v>2.3924418433528256</v>
      </c>
      <c r="G85">
        <f t="shared" si="20"/>
        <v>3.6523947672721491E-2</v>
      </c>
      <c r="I85">
        <v>43.59</v>
      </c>
      <c r="J85">
        <v>43.939999</v>
      </c>
      <c r="K85">
        <v>40.002536999999997</v>
      </c>
      <c r="L85">
        <f t="shared" si="29"/>
        <v>1.0048020968086016</v>
      </c>
      <c r="M85">
        <f t="shared" si="21"/>
        <v>0.63455035067475596</v>
      </c>
      <c r="N85">
        <f t="shared" si="22"/>
        <v>4.8020968086015525E-3</v>
      </c>
      <c r="P85">
        <f t="shared" si="16"/>
        <v>3.0269921940275815</v>
      </c>
      <c r="Q85">
        <f t="shared" si="30"/>
        <v>2.970923761801858E-2</v>
      </c>
      <c r="T85">
        <f t="shared" si="17"/>
        <v>0.79036934686294935</v>
      </c>
      <c r="U85">
        <f t="shared" si="18"/>
        <v>0.20963065313705068</v>
      </c>
      <c r="V85">
        <f t="shared" si="23"/>
        <v>2.9709237618018584E-2</v>
      </c>
      <c r="W85">
        <f t="shared" si="24"/>
        <v>3.4694469519536142E-18</v>
      </c>
      <c r="Y85">
        <f t="shared" si="25"/>
        <v>3.5872756990250901E-2</v>
      </c>
      <c r="Z85">
        <f t="shared" si="26"/>
        <v>4.790603521619783E-3</v>
      </c>
      <c r="AA85">
        <f t="shared" si="27"/>
        <v>2.9276468814473777E-2</v>
      </c>
    </row>
    <row r="86" spans="1:27" x14ac:dyDescent="0.3">
      <c r="A86" s="1">
        <v>43949</v>
      </c>
      <c r="B86">
        <v>165</v>
      </c>
      <c r="C86">
        <v>156.720001</v>
      </c>
      <c r="D86">
        <v>156.720001</v>
      </c>
      <c r="E86">
        <f t="shared" si="28"/>
        <v>0.95212633831860238</v>
      </c>
      <c r="F86">
        <f t="shared" si="19"/>
        <v>2.2779068919517331</v>
      </c>
      <c r="G86">
        <f t="shared" si="20"/>
        <v>-4.7873661681397617E-2</v>
      </c>
      <c r="I86">
        <v>44.369999</v>
      </c>
      <c r="J86">
        <v>44.970001000000003</v>
      </c>
      <c r="K86">
        <v>40.940238999999998</v>
      </c>
      <c r="L86">
        <f t="shared" si="29"/>
        <v>1.0234410632505633</v>
      </c>
      <c r="M86">
        <f t="shared" si="21"/>
        <v>0.64942488558058997</v>
      </c>
      <c r="N86">
        <f t="shared" si="22"/>
        <v>2.3441063250563277E-2</v>
      </c>
      <c r="P86">
        <f t="shared" si="16"/>
        <v>2.9273317775323231</v>
      </c>
      <c r="Q86">
        <f t="shared" si="30"/>
        <v>-3.2923909315621502E-2</v>
      </c>
      <c r="T86">
        <f t="shared" si="17"/>
        <v>0.77815125345032088</v>
      </c>
      <c r="U86">
        <f t="shared" si="18"/>
        <v>0.22184874654967912</v>
      </c>
      <c r="V86">
        <f t="shared" si="23"/>
        <v>-3.2923909315621544E-2</v>
      </c>
      <c r="W86">
        <f t="shared" si="24"/>
        <v>4.163336342344337E-17</v>
      </c>
      <c r="Y86">
        <f t="shared" si="25"/>
        <v>-4.9057544677881919E-2</v>
      </c>
      <c r="Z86">
        <f t="shared" si="26"/>
        <v>2.3170540924878791E-2</v>
      </c>
      <c r="AA86">
        <f t="shared" si="27"/>
        <v>-3.347809925702503E-2</v>
      </c>
    </row>
    <row r="87" spans="1:27" x14ac:dyDescent="0.3">
      <c r="A87" s="1">
        <v>43950</v>
      </c>
      <c r="B87">
        <v>147.979996</v>
      </c>
      <c r="C87">
        <v>146.479996</v>
      </c>
      <c r="D87">
        <v>146.479996</v>
      </c>
      <c r="E87">
        <f t="shared" si="28"/>
        <v>0.93466050960528013</v>
      </c>
      <c r="F87">
        <f t="shared" si="19"/>
        <v>2.1290696164649865</v>
      </c>
      <c r="G87">
        <f t="shared" si="20"/>
        <v>-6.5339490394719868E-2</v>
      </c>
      <c r="I87">
        <v>46.259998000000003</v>
      </c>
      <c r="J87">
        <v>47.459999000000003</v>
      </c>
      <c r="K87">
        <v>43.207107999999998</v>
      </c>
      <c r="L87">
        <f t="shared" si="29"/>
        <v>1.0553701945902172</v>
      </c>
      <c r="M87">
        <f t="shared" si="21"/>
        <v>0.68538366786691673</v>
      </c>
      <c r="N87">
        <f t="shared" si="22"/>
        <v>5.5370194590217192E-2</v>
      </c>
      <c r="P87">
        <f t="shared" si="16"/>
        <v>2.8144532843319032</v>
      </c>
      <c r="Q87">
        <f t="shared" si="30"/>
        <v>-3.8560198084405028E-2</v>
      </c>
      <c r="T87">
        <f t="shared" si="17"/>
        <v>0.75647715608482247</v>
      </c>
      <c r="U87">
        <f t="shared" si="18"/>
        <v>0.24352284391517751</v>
      </c>
      <c r="V87">
        <f t="shared" si="23"/>
        <v>-3.8560198084404959E-2</v>
      </c>
      <c r="W87">
        <f t="shared" si="24"/>
        <v>6.9388939039072284E-17</v>
      </c>
      <c r="Y87">
        <f t="shared" si="25"/>
        <v>-6.7571906958319092E-2</v>
      </c>
      <c r="Z87">
        <f t="shared" si="26"/>
        <v>5.3891600724833108E-2</v>
      </c>
      <c r="AA87">
        <f t="shared" si="27"/>
        <v>-3.9323324425419047E-2</v>
      </c>
    </row>
    <row r="88" spans="1:27" x14ac:dyDescent="0.3">
      <c r="A88" s="1">
        <v>43951</v>
      </c>
      <c r="B88">
        <v>139.990005</v>
      </c>
      <c r="C88">
        <v>135.16999799999999</v>
      </c>
      <c r="D88">
        <v>135.16999799999999</v>
      </c>
      <c r="E88">
        <f t="shared" si="28"/>
        <v>0.9227881054830176</v>
      </c>
      <c r="F88">
        <f t="shared" si="19"/>
        <v>1.9646801178191797</v>
      </c>
      <c r="G88">
        <f t="shared" si="20"/>
        <v>-7.7211894516982404E-2</v>
      </c>
      <c r="I88">
        <v>47.68</v>
      </c>
      <c r="J88">
        <v>46.470001000000003</v>
      </c>
      <c r="K88">
        <v>42.305824000000001</v>
      </c>
      <c r="L88">
        <f t="shared" si="29"/>
        <v>0.97914037662506836</v>
      </c>
      <c r="M88">
        <f t="shared" si="21"/>
        <v>0.67108682268788367</v>
      </c>
      <c r="N88">
        <f t="shared" si="22"/>
        <v>-2.0859623374931635E-2</v>
      </c>
      <c r="P88">
        <f t="shared" si="16"/>
        <v>2.6357669405070636</v>
      </c>
      <c r="Q88">
        <f t="shared" si="30"/>
        <v>-6.348882918739096E-2</v>
      </c>
      <c r="T88">
        <f t="shared" si="17"/>
        <v>0.74539219975238724</v>
      </c>
      <c r="U88">
        <f t="shared" si="18"/>
        <v>0.2546078002476127</v>
      </c>
      <c r="V88">
        <f t="shared" si="23"/>
        <v>-6.3488829187391016E-2</v>
      </c>
      <c r="W88">
        <f t="shared" si="24"/>
        <v>5.5511151231257827E-17</v>
      </c>
      <c r="Y88">
        <f t="shared" si="25"/>
        <v>-8.0355642359218993E-2</v>
      </c>
      <c r="Z88">
        <f t="shared" si="26"/>
        <v>-2.1080258962469546E-2</v>
      </c>
      <c r="AA88">
        <f t="shared" si="27"/>
        <v>-6.5593828912211244E-2</v>
      </c>
    </row>
    <row r="89" spans="1:27" x14ac:dyDescent="0.3">
      <c r="A89" s="1">
        <v>43952</v>
      </c>
      <c r="B89">
        <v>136</v>
      </c>
      <c r="C89">
        <v>138.55999800000001</v>
      </c>
      <c r="D89">
        <v>138.55999800000001</v>
      </c>
      <c r="E89">
        <f t="shared" si="28"/>
        <v>1.0250795298524753</v>
      </c>
      <c r="F89">
        <f t="shared" si="19"/>
        <v>2.0139533714845905</v>
      </c>
      <c r="G89">
        <f t="shared" si="20"/>
        <v>2.5079529852475302E-2</v>
      </c>
      <c r="I89">
        <v>45.630001</v>
      </c>
      <c r="J89">
        <v>43.139999000000003</v>
      </c>
      <c r="K89">
        <v>39.274227000000003</v>
      </c>
      <c r="L89">
        <f t="shared" si="29"/>
        <v>0.92834090644351952</v>
      </c>
      <c r="M89">
        <f t="shared" si="21"/>
        <v>0.6229973492763714</v>
      </c>
      <c r="N89">
        <f t="shared" si="22"/>
        <v>-7.165909355648048E-2</v>
      </c>
      <c r="P89">
        <f t="shared" si="16"/>
        <v>2.6369507207609617</v>
      </c>
      <c r="Q89">
        <f t="shared" si="30"/>
        <v>4.4912174733879873E-4</v>
      </c>
      <c r="T89">
        <f t="shared" si="17"/>
        <v>0.76374327196505631</v>
      </c>
      <c r="U89">
        <f t="shared" si="18"/>
        <v>0.23625672803494374</v>
      </c>
      <c r="V89">
        <f t="shared" si="23"/>
        <v>4.4912174733885771E-4</v>
      </c>
      <c r="W89">
        <f t="shared" si="24"/>
        <v>5.8980598183211441E-17</v>
      </c>
      <c r="Y89">
        <f t="shared" si="25"/>
        <v>2.4770199680391292E-2</v>
      </c>
      <c r="Z89">
        <f t="shared" si="26"/>
        <v>-7.4356257573282541E-2</v>
      </c>
      <c r="AA89">
        <f t="shared" si="27"/>
        <v>4.49020922354165E-4</v>
      </c>
    </row>
    <row r="90" spans="1:27" x14ac:dyDescent="0.3">
      <c r="A90" s="1">
        <v>43955</v>
      </c>
      <c r="B90">
        <v>140.770004</v>
      </c>
      <c r="C90">
        <v>143.44000199999999</v>
      </c>
      <c r="D90">
        <v>143.44000199999999</v>
      </c>
      <c r="E90">
        <f t="shared" si="28"/>
        <v>1.03521942891483</v>
      </c>
      <c r="F90">
        <f t="shared" si="19"/>
        <v>2.0848836590893742</v>
      </c>
      <c r="G90">
        <f t="shared" si="20"/>
        <v>3.5219428914829987E-2</v>
      </c>
      <c r="I90">
        <v>42.509998000000003</v>
      </c>
      <c r="J90">
        <v>44.880001</v>
      </c>
      <c r="K90">
        <v>40.858302999999999</v>
      </c>
      <c r="L90">
        <f t="shared" si="29"/>
        <v>1.04033372827427</v>
      </c>
      <c r="M90">
        <f t="shared" si="21"/>
        <v>0.64812515507767499</v>
      </c>
      <c r="N90">
        <f t="shared" si="22"/>
        <v>4.0333728274269953E-2</v>
      </c>
      <c r="P90">
        <f t="shared" si="16"/>
        <v>2.7330088141670492</v>
      </c>
      <c r="Q90">
        <f t="shared" si="30"/>
        <v>3.6427716547682509E-2</v>
      </c>
      <c r="T90">
        <f t="shared" si="17"/>
        <v>0.76285288517256145</v>
      </c>
      <c r="U90">
        <f t="shared" si="18"/>
        <v>0.23714711482743858</v>
      </c>
      <c r="V90">
        <f t="shared" si="23"/>
        <v>3.6427716547682482E-2</v>
      </c>
      <c r="W90">
        <f t="shared" si="24"/>
        <v>2.7755575615628914E-17</v>
      </c>
      <c r="Y90">
        <f t="shared" si="25"/>
        <v>3.461341286004456E-2</v>
      </c>
      <c r="Z90">
        <f t="shared" si="26"/>
        <v>3.9541554249685189E-2</v>
      </c>
      <c r="AA90">
        <f t="shared" si="27"/>
        <v>3.577991244711072E-2</v>
      </c>
    </row>
    <row r="91" spans="1:27" x14ac:dyDescent="0.3">
      <c r="A91" s="1">
        <v>43956</v>
      </c>
      <c r="B91">
        <v>144.429993</v>
      </c>
      <c r="C91">
        <v>144.820007</v>
      </c>
      <c r="D91">
        <v>144.820007</v>
      </c>
      <c r="E91">
        <f t="shared" si="28"/>
        <v>1.0096207820744454</v>
      </c>
      <c r="F91">
        <f t="shared" si="19"/>
        <v>2.1049418704240455</v>
      </c>
      <c r="G91">
        <f t="shared" si="20"/>
        <v>9.6207820744453887E-3</v>
      </c>
      <c r="I91">
        <v>46.259998000000003</v>
      </c>
      <c r="J91">
        <v>44.830002</v>
      </c>
      <c r="K91">
        <v>40.812786000000003</v>
      </c>
      <c r="L91">
        <f t="shared" si="29"/>
        <v>0.99888597918518551</v>
      </c>
      <c r="M91">
        <f t="shared" si="21"/>
        <v>0.64740313016431361</v>
      </c>
      <c r="N91">
        <f t="shared" si="22"/>
        <v>-1.114020814814487E-3</v>
      </c>
      <c r="P91">
        <f t="shared" si="16"/>
        <v>2.7523450005883592</v>
      </c>
      <c r="Q91">
        <f t="shared" si="30"/>
        <v>7.0750545410163124E-3</v>
      </c>
      <c r="T91">
        <f t="shared" si="17"/>
        <v>0.76478125742742253</v>
      </c>
      <c r="U91">
        <f t="shared" si="18"/>
        <v>0.23521874257257738</v>
      </c>
      <c r="V91">
        <f t="shared" si="23"/>
        <v>7.075054541016158E-3</v>
      </c>
      <c r="W91">
        <f t="shared" si="24"/>
        <v>1.5439038936193583E-16</v>
      </c>
      <c r="Y91">
        <f t="shared" si="25"/>
        <v>9.574797056549374E-3</v>
      </c>
      <c r="Z91">
        <f t="shared" si="26"/>
        <v>-1.11464179723681E-3</v>
      </c>
      <c r="AA91">
        <f t="shared" si="27"/>
        <v>7.0501437703302189E-3</v>
      </c>
    </row>
    <row r="92" spans="1:27" x14ac:dyDescent="0.3">
      <c r="A92" s="1">
        <v>43957</v>
      </c>
      <c r="B92">
        <v>145.470001</v>
      </c>
      <c r="C92">
        <v>149.58999600000001</v>
      </c>
      <c r="D92">
        <v>149.58999600000001</v>
      </c>
      <c r="E92">
        <f t="shared" si="28"/>
        <v>1.032937362031753</v>
      </c>
      <c r="F92">
        <f t="shared" si="19"/>
        <v>2.1742731028659974</v>
      </c>
      <c r="G92">
        <f t="shared" si="20"/>
        <v>3.2937362031753015E-2</v>
      </c>
      <c r="I92">
        <v>44.93</v>
      </c>
      <c r="J92">
        <v>43.990001999999997</v>
      </c>
      <c r="K92">
        <v>40.048060999999997</v>
      </c>
      <c r="L92">
        <f t="shared" si="29"/>
        <v>0.98126261216276667</v>
      </c>
      <c r="M92">
        <f t="shared" si="21"/>
        <v>0.635272486627386</v>
      </c>
      <c r="N92">
        <f t="shared" si="22"/>
        <v>-1.8737387837233332E-2</v>
      </c>
      <c r="P92">
        <f t="shared" si="16"/>
        <v>2.8095455894933834</v>
      </c>
      <c r="Q92">
        <f t="shared" si="30"/>
        <v>2.0782492344817438E-2</v>
      </c>
      <c r="T92">
        <f t="shared" si="17"/>
        <v>0.77388781694696107</v>
      </c>
      <c r="U92">
        <f t="shared" si="18"/>
        <v>0.2261121830530389</v>
      </c>
      <c r="V92">
        <f t="shared" si="23"/>
        <v>2.0782492344817587E-2</v>
      </c>
      <c r="W92">
        <f t="shared" si="24"/>
        <v>1.4918621893400541E-16</v>
      </c>
      <c r="Y92">
        <f t="shared" si="25"/>
        <v>3.2406551350075162E-2</v>
      </c>
      <c r="Z92">
        <f t="shared" si="26"/>
        <v>-1.8915156808612579E-2</v>
      </c>
      <c r="AA92">
        <f t="shared" si="27"/>
        <v>2.0569482545182621E-2</v>
      </c>
    </row>
    <row r="93" spans="1:27" x14ac:dyDescent="0.3">
      <c r="A93" s="1">
        <v>43958</v>
      </c>
      <c r="B93">
        <v>154.83999600000001</v>
      </c>
      <c r="C93">
        <v>157.800003</v>
      </c>
      <c r="D93">
        <v>157.800003</v>
      </c>
      <c r="E93">
        <f t="shared" si="28"/>
        <v>1.0548833960795079</v>
      </c>
      <c r="F93">
        <f t="shared" si="19"/>
        <v>2.2936045947556125</v>
      </c>
      <c r="G93">
        <f t="shared" si="20"/>
        <v>5.4883396079507873E-2</v>
      </c>
      <c r="I93">
        <v>44.959999000000003</v>
      </c>
      <c r="J93">
        <v>44.240001999999997</v>
      </c>
      <c r="K93">
        <v>40.275654000000003</v>
      </c>
      <c r="L93">
        <f t="shared" si="29"/>
        <v>1.0056829967373453</v>
      </c>
      <c r="M93">
        <f t="shared" si="21"/>
        <v>0.63888273809621465</v>
      </c>
      <c r="N93">
        <f t="shared" si="22"/>
        <v>5.6829967373452916E-3</v>
      </c>
      <c r="P93">
        <f t="shared" si="16"/>
        <v>2.9324873328518271</v>
      </c>
      <c r="Q93">
        <f t="shared" si="30"/>
        <v>4.3758586377170117E-2</v>
      </c>
      <c r="T93">
        <f t="shared" si="17"/>
        <v>0.78213623263125753</v>
      </c>
      <c r="U93">
        <f t="shared" si="18"/>
        <v>0.21786376736874252</v>
      </c>
      <c r="V93">
        <f t="shared" si="23"/>
        <v>4.3758586377170193E-2</v>
      </c>
      <c r="W93">
        <f t="shared" si="24"/>
        <v>7.6327832942979512E-17</v>
      </c>
      <c r="Y93">
        <f t="shared" si="25"/>
        <v>5.3430235776566651E-2</v>
      </c>
      <c r="Z93">
        <f t="shared" si="26"/>
        <v>5.6669094320119968E-3</v>
      </c>
      <c r="AA93">
        <f t="shared" si="27"/>
        <v>4.2828223618235996E-2</v>
      </c>
    </row>
    <row r="94" spans="1:27" x14ac:dyDescent="0.3">
      <c r="A94" s="1">
        <v>43959</v>
      </c>
      <c r="B94">
        <v>160</v>
      </c>
      <c r="C94">
        <v>155.39999399999999</v>
      </c>
      <c r="D94">
        <v>155.39999399999999</v>
      </c>
      <c r="E94">
        <f t="shared" si="28"/>
        <v>0.98479081777964217</v>
      </c>
      <c r="F94">
        <f t="shared" si="19"/>
        <v>2.2587207445325244</v>
      </c>
      <c r="G94">
        <f t="shared" si="20"/>
        <v>-1.5209182220357831E-2</v>
      </c>
      <c r="I94">
        <v>45.310001</v>
      </c>
      <c r="J94">
        <v>46.18</v>
      </c>
      <c r="K94">
        <v>42.041812999999998</v>
      </c>
      <c r="L94">
        <f t="shared" si="29"/>
        <v>1.0438517770561837</v>
      </c>
      <c r="M94">
        <f t="shared" si="21"/>
        <v>0.66689888149225407</v>
      </c>
      <c r="N94">
        <f t="shared" si="22"/>
        <v>4.3851777056183705E-2</v>
      </c>
      <c r="P94">
        <f t="shared" si="16"/>
        <v>2.9256196260247784</v>
      </c>
      <c r="Q94">
        <f t="shared" si="30"/>
        <v>-2.3419391279585478E-3</v>
      </c>
      <c r="T94">
        <f t="shared" si="17"/>
        <v>0.77204867113965492</v>
      </c>
      <c r="U94">
        <f t="shared" si="18"/>
        <v>0.22795132886034508</v>
      </c>
      <c r="V94">
        <f t="shared" si="23"/>
        <v>-2.3419391279586102E-3</v>
      </c>
      <c r="W94">
        <f t="shared" si="24"/>
        <v>6.2450045135165055E-17</v>
      </c>
      <c r="Y94">
        <f t="shared" si="25"/>
        <v>-1.53260280996729E-2</v>
      </c>
      <c r="Z94">
        <f t="shared" si="26"/>
        <v>4.2917503381076631E-2</v>
      </c>
      <c r="AA94">
        <f t="shared" si="27"/>
        <v>-2.344685756527313E-3</v>
      </c>
    </row>
    <row r="95" spans="1:27" x14ac:dyDescent="0.3">
      <c r="A95" s="1">
        <v>43962</v>
      </c>
      <c r="B95">
        <v>159.429993</v>
      </c>
      <c r="C95">
        <v>166.479996</v>
      </c>
      <c r="D95">
        <v>166.479996</v>
      </c>
      <c r="E95">
        <f t="shared" si="28"/>
        <v>1.0712998869227757</v>
      </c>
      <c r="F95">
        <f t="shared" si="19"/>
        <v>2.419767278207821</v>
      </c>
      <c r="G95">
        <f t="shared" si="20"/>
        <v>7.1299886922775668E-2</v>
      </c>
      <c r="I95">
        <v>46.110000999999997</v>
      </c>
      <c r="J95">
        <v>45.740001999999997</v>
      </c>
      <c r="K95">
        <v>41.641238999999999</v>
      </c>
      <c r="L95">
        <f t="shared" si="29"/>
        <v>0.99047200937790192</v>
      </c>
      <c r="M95">
        <f t="shared" si="21"/>
        <v>0.66054467520350812</v>
      </c>
      <c r="N95">
        <f t="shared" si="22"/>
        <v>-9.5279906220980815E-3</v>
      </c>
      <c r="P95">
        <f t="shared" si="16"/>
        <v>3.080311953411329</v>
      </c>
      <c r="Q95">
        <f t="shared" si="30"/>
        <v>5.2875064827460294E-2</v>
      </c>
      <c r="T95">
        <f t="shared" si="17"/>
        <v>0.78555916245042012</v>
      </c>
      <c r="U95">
        <f t="shared" si="18"/>
        <v>0.21444083754957996</v>
      </c>
      <c r="V95">
        <f t="shared" si="23"/>
        <v>5.2875064827460454E-2</v>
      </c>
      <c r="W95">
        <f t="shared" si="24"/>
        <v>1.5959455978986625E-16</v>
      </c>
      <c r="Y95">
        <f t="shared" si="25"/>
        <v>6.8872758734960945E-2</v>
      </c>
      <c r="Z95">
        <f t="shared" si="26"/>
        <v>-9.5736723262171402E-3</v>
      </c>
      <c r="AA95">
        <f t="shared" si="27"/>
        <v>5.1524579225237614E-2</v>
      </c>
    </row>
    <row r="96" spans="1:27" x14ac:dyDescent="0.3">
      <c r="A96" s="1">
        <v>43963</v>
      </c>
      <c r="B96">
        <v>168</v>
      </c>
      <c r="C96">
        <v>161.03999300000001</v>
      </c>
      <c r="D96">
        <v>161.03999300000001</v>
      </c>
      <c r="E96">
        <f t="shared" si="28"/>
        <v>0.9673233834051751</v>
      </c>
      <c r="F96">
        <f t="shared" si="19"/>
        <v>2.340697470609121</v>
      </c>
      <c r="G96">
        <f t="shared" si="20"/>
        <v>-3.2676616594824903E-2</v>
      </c>
      <c r="I96">
        <v>45.419998</v>
      </c>
      <c r="J96">
        <v>44.119999</v>
      </c>
      <c r="K96">
        <v>40.945210000000003</v>
      </c>
      <c r="L96">
        <f t="shared" si="29"/>
        <v>0.98328510350040266</v>
      </c>
      <c r="M96">
        <f t="shared" si="21"/>
        <v>0.64950373932412131</v>
      </c>
      <c r="N96">
        <f t="shared" si="22"/>
        <v>-1.6714896499597343E-2</v>
      </c>
      <c r="P96">
        <f t="shared" si="16"/>
        <v>2.9902012099332422</v>
      </c>
      <c r="Q96">
        <f t="shared" si="30"/>
        <v>-2.9253771968872355E-2</v>
      </c>
      <c r="T96">
        <f t="shared" si="17"/>
        <v>0.78278928616358168</v>
      </c>
      <c r="U96">
        <f t="shared" si="18"/>
        <v>0.21721071383641832</v>
      </c>
      <c r="V96">
        <f t="shared" si="23"/>
        <v>-2.9253771968872345E-2</v>
      </c>
      <c r="W96">
        <f t="shared" si="24"/>
        <v>1.0408340855860843E-17</v>
      </c>
      <c r="Y96">
        <f t="shared" si="25"/>
        <v>-3.3222420194394857E-2</v>
      </c>
      <c r="Z96">
        <f t="shared" si="26"/>
        <v>-1.6856166806964893E-2</v>
      </c>
      <c r="AA96">
        <f t="shared" si="27"/>
        <v>-2.9690196001264917E-2</v>
      </c>
    </row>
    <row r="97" spans="1:27" x14ac:dyDescent="0.3">
      <c r="A97" s="1">
        <v>43964</v>
      </c>
      <c r="B97">
        <v>163.61000100000001</v>
      </c>
      <c r="C97">
        <v>167.13999899999999</v>
      </c>
      <c r="D97">
        <v>167.13999899999999</v>
      </c>
      <c r="E97">
        <f t="shared" si="28"/>
        <v>1.0378788267831083</v>
      </c>
      <c r="F97">
        <f t="shared" si="19"/>
        <v>2.4293603446499836</v>
      </c>
      <c r="G97">
        <f t="shared" si="20"/>
        <v>3.7878826783108277E-2</v>
      </c>
      <c r="I97">
        <v>43.740001999999997</v>
      </c>
      <c r="J97">
        <v>41.93</v>
      </c>
      <c r="K97">
        <v>38.912796</v>
      </c>
      <c r="L97">
        <f t="shared" si="29"/>
        <v>0.95036259430590286</v>
      </c>
      <c r="M97">
        <f t="shared" si="21"/>
        <v>0.61726405871545675</v>
      </c>
      <c r="N97">
        <f t="shared" si="22"/>
        <v>-4.9637405694097136E-2</v>
      </c>
      <c r="P97">
        <f t="shared" si="16"/>
        <v>3.0466244033654402</v>
      </c>
      <c r="Q97">
        <f t="shared" si="30"/>
        <v>1.8869363454460553E-2</v>
      </c>
      <c r="T97">
        <f t="shared" si="17"/>
        <v>0.79739410672559485</v>
      </c>
      <c r="U97">
        <f t="shared" si="18"/>
        <v>0.2026058932744052</v>
      </c>
      <c r="V97">
        <f t="shared" si="23"/>
        <v>1.8869363454460553E-2</v>
      </c>
      <c r="W97">
        <f t="shared" si="24"/>
        <v>0</v>
      </c>
      <c r="Y97">
        <f t="shared" si="25"/>
        <v>3.7179040726208049E-2</v>
      </c>
      <c r="Z97">
        <f t="shared" si="26"/>
        <v>-5.0911688991412477E-2</v>
      </c>
      <c r="AA97">
        <f t="shared" si="27"/>
        <v>1.8693545290533235E-2</v>
      </c>
    </row>
    <row r="98" spans="1:27" x14ac:dyDescent="0.3">
      <c r="A98" s="1">
        <v>43965</v>
      </c>
      <c r="B98">
        <v>168.259995</v>
      </c>
      <c r="C98">
        <v>167.91000399999999</v>
      </c>
      <c r="D98">
        <v>167.91000399999999</v>
      </c>
      <c r="E98">
        <f t="shared" si="28"/>
        <v>1.0046069463001492</v>
      </c>
      <c r="F98">
        <f t="shared" si="19"/>
        <v>2.440552277301498</v>
      </c>
      <c r="G98">
        <f t="shared" si="20"/>
        <v>4.6069463001492394E-3</v>
      </c>
      <c r="I98">
        <v>41.07</v>
      </c>
      <c r="J98">
        <v>42.299999</v>
      </c>
      <c r="K98">
        <v>39.256171999999999</v>
      </c>
      <c r="L98">
        <f t="shared" si="29"/>
        <v>1.0088242438297161</v>
      </c>
      <c r="M98">
        <f t="shared" si="21"/>
        <v>0.62271094727688214</v>
      </c>
      <c r="N98">
        <f t="shared" si="22"/>
        <v>8.8242438297161385E-3</v>
      </c>
      <c r="P98">
        <f t="shared" si="16"/>
        <v>3.06326322457838</v>
      </c>
      <c r="Q98">
        <f t="shared" si="30"/>
        <v>5.4613956333311453E-3</v>
      </c>
      <c r="T98">
        <f t="shared" si="17"/>
        <v>0.79671647467951756</v>
      </c>
      <c r="U98">
        <f t="shared" si="18"/>
        <v>0.20328352532048255</v>
      </c>
      <c r="V98">
        <f t="shared" si="23"/>
        <v>5.4613956333310837E-3</v>
      </c>
      <c r="W98">
        <f t="shared" si="24"/>
        <v>6.1582683397176652E-17</v>
      </c>
      <c r="Y98">
        <f t="shared" si="25"/>
        <v>4.5963668033815212E-3</v>
      </c>
      <c r="Z98">
        <f t="shared" si="26"/>
        <v>8.7855377248800114E-3</v>
      </c>
      <c r="AA98">
        <f t="shared" si="27"/>
        <v>5.4465362894851634E-3</v>
      </c>
    </row>
    <row r="99" spans="1:27" x14ac:dyDescent="0.3">
      <c r="A99" s="1">
        <v>43966</v>
      </c>
      <c r="B99">
        <v>166.75</v>
      </c>
      <c r="C99">
        <v>174.83000200000001</v>
      </c>
      <c r="D99">
        <v>174.83000200000001</v>
      </c>
      <c r="E99">
        <f t="shared" si="28"/>
        <v>1.0412125414516697</v>
      </c>
      <c r="F99">
        <f t="shared" si="19"/>
        <v>2.541133639194753</v>
      </c>
      <c r="G99">
        <f t="shared" si="20"/>
        <v>4.1212541451669749E-2</v>
      </c>
      <c r="I99">
        <v>42.380001</v>
      </c>
      <c r="J99">
        <v>42</v>
      </c>
      <c r="K99">
        <v>38.977760000000004</v>
      </c>
      <c r="L99">
        <f t="shared" si="29"/>
        <v>0.99290781587160371</v>
      </c>
      <c r="M99">
        <f t="shared" si="21"/>
        <v>0.61829456658002646</v>
      </c>
      <c r="N99">
        <f t="shared" si="22"/>
        <v>-7.092184128396295E-3</v>
      </c>
      <c r="P99">
        <f t="shared" si="16"/>
        <v>3.1594282057747796</v>
      </c>
      <c r="Q99">
        <f t="shared" si="30"/>
        <v>3.1392986546115553E-2</v>
      </c>
      <c r="T99">
        <f t="shared" si="17"/>
        <v>0.80430175135807414</v>
      </c>
      <c r="U99">
        <f t="shared" si="18"/>
        <v>0.19569824864192584</v>
      </c>
      <c r="V99">
        <f t="shared" si="23"/>
        <v>3.1392986546115435E-2</v>
      </c>
      <c r="W99">
        <f t="shared" si="24"/>
        <v>1.1796119636642288E-16</v>
      </c>
      <c r="Y99">
        <f t="shared" si="25"/>
        <v>4.0385939255578554E-2</v>
      </c>
      <c r="Z99">
        <f t="shared" si="26"/>
        <v>-7.1174532124632112E-3</v>
      </c>
      <c r="AA99">
        <f t="shared" si="27"/>
        <v>3.091030267570458E-2</v>
      </c>
    </row>
    <row r="100" spans="1:27" x14ac:dyDescent="0.3">
      <c r="A100" s="1">
        <v>43969</v>
      </c>
      <c r="B100">
        <v>170.029999</v>
      </c>
      <c r="C100">
        <v>164.69000199999999</v>
      </c>
      <c r="D100">
        <v>164.69000199999999</v>
      </c>
      <c r="E100">
        <f t="shared" si="28"/>
        <v>0.94200080144139098</v>
      </c>
      <c r="F100">
        <f t="shared" si="19"/>
        <v>2.3937499246911358</v>
      </c>
      <c r="G100">
        <f t="shared" si="20"/>
        <v>-5.7999198558609022E-2</v>
      </c>
      <c r="I100">
        <v>44.400002000000001</v>
      </c>
      <c r="J100">
        <v>45.34</v>
      </c>
      <c r="K100">
        <v>42.077418999999999</v>
      </c>
      <c r="L100">
        <f t="shared" si="29"/>
        <v>1.0795237848455117</v>
      </c>
      <c r="M100">
        <f t="shared" si="21"/>
        <v>0.66746369066388544</v>
      </c>
      <c r="N100">
        <f t="shared" si="22"/>
        <v>7.9523784845511702E-2</v>
      </c>
      <c r="P100">
        <f t="shared" si="16"/>
        <v>3.0612136153550211</v>
      </c>
      <c r="Q100">
        <f t="shared" si="30"/>
        <v>-3.108619155840997E-2</v>
      </c>
      <c r="T100">
        <f t="shared" si="17"/>
        <v>0.78196108650637997</v>
      </c>
      <c r="U100">
        <f t="shared" si="18"/>
        <v>0.21803891349362009</v>
      </c>
      <c r="V100">
        <f t="shared" si="23"/>
        <v>-3.1086191558409963E-2</v>
      </c>
      <c r="W100">
        <f t="shared" si="24"/>
        <v>6.9388939039072284E-18</v>
      </c>
      <c r="Y100">
        <f t="shared" si="25"/>
        <v>-5.9749153619096655E-2</v>
      </c>
      <c r="Z100">
        <f t="shared" si="26"/>
        <v>7.6520003935659081E-2</v>
      </c>
      <c r="AA100">
        <f t="shared" si="27"/>
        <v>-3.1579620024252922E-2</v>
      </c>
    </row>
    <row r="101" spans="1:27" x14ac:dyDescent="0.3">
      <c r="A101" s="1">
        <v>43970</v>
      </c>
      <c r="B101">
        <v>167</v>
      </c>
      <c r="C101">
        <v>173.679993</v>
      </c>
      <c r="D101">
        <v>173.679993</v>
      </c>
      <c r="E101">
        <f t="shared" si="28"/>
        <v>1.0545873513317463</v>
      </c>
      <c r="F101">
        <f t="shared" si="19"/>
        <v>2.5244183928305919</v>
      </c>
      <c r="G101">
        <f t="shared" si="20"/>
        <v>5.4587351331746303E-2</v>
      </c>
      <c r="I101">
        <v>45.549999</v>
      </c>
      <c r="J101">
        <v>43.939999</v>
      </c>
      <c r="K101">
        <v>40.77816</v>
      </c>
      <c r="L101">
        <f t="shared" si="29"/>
        <v>0.96912217928575894</v>
      </c>
      <c r="M101">
        <f t="shared" si="21"/>
        <v>0.6468538664903003</v>
      </c>
      <c r="N101">
        <f t="shared" si="22"/>
        <v>-3.0877820714241055E-2</v>
      </c>
      <c r="P101">
        <f t="shared" si="16"/>
        <v>3.171272259320892</v>
      </c>
      <c r="Q101">
        <f t="shared" si="30"/>
        <v>3.5952618077293774E-2</v>
      </c>
      <c r="T101">
        <f t="shared" si="17"/>
        <v>0.79602701578551327</v>
      </c>
      <c r="U101">
        <f t="shared" si="18"/>
        <v>0.20397298421448684</v>
      </c>
      <c r="V101">
        <f t="shared" si="23"/>
        <v>3.5952618077293913E-2</v>
      </c>
      <c r="W101">
        <f t="shared" si="24"/>
        <v>1.3877787807814457E-16</v>
      </c>
      <c r="Y101">
        <f t="shared" si="25"/>
        <v>5.3149554235883086E-2</v>
      </c>
      <c r="Z101">
        <f t="shared" si="26"/>
        <v>-3.1364587025597239E-2</v>
      </c>
      <c r="AA101">
        <f t="shared" si="27"/>
        <v>3.5321407344766256E-2</v>
      </c>
    </row>
    <row r="102" spans="1:27" x14ac:dyDescent="0.3">
      <c r="A102" s="1">
        <v>43971</v>
      </c>
      <c r="B102">
        <v>173.529999</v>
      </c>
      <c r="C102">
        <v>175.479996</v>
      </c>
      <c r="D102">
        <v>175.479996</v>
      </c>
      <c r="E102">
        <f t="shared" si="28"/>
        <v>1.0103639053002496</v>
      </c>
      <c r="F102">
        <f t="shared" si="19"/>
        <v>2.5505812259920964</v>
      </c>
      <c r="G102">
        <f t="shared" si="20"/>
        <v>1.0363905300249554E-2</v>
      </c>
      <c r="I102">
        <v>44.619999</v>
      </c>
      <c r="J102">
        <v>45.369999</v>
      </c>
      <c r="K102">
        <v>42.105263000000001</v>
      </c>
      <c r="L102">
        <f t="shared" si="29"/>
        <v>1.0325444551691396</v>
      </c>
      <c r="M102">
        <f t="shared" si="21"/>
        <v>0.66790537314927845</v>
      </c>
      <c r="N102">
        <f t="shared" si="22"/>
        <v>3.2544455169139619E-2</v>
      </c>
      <c r="P102">
        <f t="shared" si="16"/>
        <v>3.2184865991413747</v>
      </c>
      <c r="Q102">
        <f t="shared" si="30"/>
        <v>1.4888138248525307E-2</v>
      </c>
      <c r="T102">
        <f t="shared" si="17"/>
        <v>0.79247843588118039</v>
      </c>
      <c r="U102">
        <f t="shared" si="18"/>
        <v>0.20752156411881961</v>
      </c>
      <c r="V102">
        <f t="shared" si="23"/>
        <v>1.4888138248525307E-2</v>
      </c>
      <c r="W102">
        <f t="shared" si="24"/>
        <v>0</v>
      </c>
      <c r="Y102">
        <f t="shared" si="25"/>
        <v>1.0310568237364308E-2</v>
      </c>
      <c r="Z102">
        <f t="shared" si="26"/>
        <v>3.202610078006235E-2</v>
      </c>
      <c r="AA102">
        <f t="shared" si="27"/>
        <v>1.4778397798191669E-2</v>
      </c>
    </row>
    <row r="103" spans="1:27" x14ac:dyDescent="0.3">
      <c r="A103" s="1">
        <v>43972</v>
      </c>
      <c r="B103">
        <v>175.96000699999999</v>
      </c>
      <c r="C103">
        <v>172.029999</v>
      </c>
      <c r="D103">
        <v>172.029999</v>
      </c>
      <c r="E103">
        <f t="shared" si="28"/>
        <v>0.98033965649281185</v>
      </c>
      <c r="F103">
        <f t="shared" si="19"/>
        <v>2.5004359229461066</v>
      </c>
      <c r="G103">
        <f t="shared" si="20"/>
        <v>-1.9660343507188149E-2</v>
      </c>
      <c r="I103">
        <v>45.439999</v>
      </c>
      <c r="J103">
        <v>44.560001</v>
      </c>
      <c r="K103">
        <v>41.353546000000001</v>
      </c>
      <c r="L103">
        <f t="shared" si="29"/>
        <v>0.98214672118305024</v>
      </c>
      <c r="M103">
        <f t="shared" si="21"/>
        <v>0.65598107229910552</v>
      </c>
      <c r="N103">
        <f t="shared" si="22"/>
        <v>-1.7853278816949758E-2</v>
      </c>
      <c r="P103">
        <f t="shared" si="16"/>
        <v>3.1564169952452121</v>
      </c>
      <c r="Q103">
        <f t="shared" si="30"/>
        <v>-1.928533861620596E-2</v>
      </c>
      <c r="T103">
        <f t="shared" si="17"/>
        <v>0.79217540860815683</v>
      </c>
      <c r="U103">
        <f t="shared" si="18"/>
        <v>0.20782459139184314</v>
      </c>
      <c r="V103">
        <f t="shared" si="23"/>
        <v>-1.9285338616205988E-2</v>
      </c>
      <c r="W103">
        <f t="shared" si="24"/>
        <v>2.7755575615628914E-17</v>
      </c>
      <c r="Y103">
        <f t="shared" si="25"/>
        <v>-1.985617910738427E-2</v>
      </c>
      <c r="Z103">
        <f t="shared" si="26"/>
        <v>-1.8014571214948299E-2</v>
      </c>
      <c r="AA103">
        <f t="shared" si="27"/>
        <v>-1.9473726778415405E-2</v>
      </c>
    </row>
    <row r="104" spans="1:27" x14ac:dyDescent="0.3">
      <c r="A104" s="1">
        <v>43973</v>
      </c>
      <c r="B104">
        <v>171.86000100000001</v>
      </c>
      <c r="C104">
        <v>171.05999800000001</v>
      </c>
      <c r="D104">
        <v>171.05999800000001</v>
      </c>
      <c r="E104">
        <f t="shared" si="28"/>
        <v>0.99436144273883298</v>
      </c>
      <c r="F104">
        <f t="shared" si="19"/>
        <v>2.4863370718166959</v>
      </c>
      <c r="G104">
        <f t="shared" si="20"/>
        <v>-5.6385572611670209E-3</v>
      </c>
      <c r="I104">
        <v>44.049999</v>
      </c>
      <c r="J104">
        <v>44.599997999999999</v>
      </c>
      <c r="K104">
        <v>41.390667000000001</v>
      </c>
      <c r="L104">
        <f t="shared" si="29"/>
        <v>1.0008976497444741</v>
      </c>
      <c r="M104">
        <f t="shared" si="21"/>
        <v>0.65656991354103467</v>
      </c>
      <c r="N104">
        <f t="shared" si="22"/>
        <v>8.9764974447414936E-4</v>
      </c>
      <c r="P104">
        <f t="shared" si="16"/>
        <v>3.1429069853577305</v>
      </c>
      <c r="Q104">
        <f t="shared" si="30"/>
        <v>-4.280172710967145E-3</v>
      </c>
      <c r="T104">
        <f t="shared" si="17"/>
        <v>0.79109470417041228</v>
      </c>
      <c r="U104">
        <f t="shared" si="18"/>
        <v>0.20890529582958781</v>
      </c>
      <c r="V104">
        <f t="shared" si="23"/>
        <v>-4.2801727109671424E-3</v>
      </c>
      <c r="W104">
        <f t="shared" si="24"/>
        <v>2.6020852139652106E-18</v>
      </c>
      <c r="Y104">
        <f t="shared" si="25"/>
        <v>-5.6545139351767606E-3</v>
      </c>
      <c r="Z104">
        <f t="shared" si="26"/>
        <v>8.9724709788133021E-4</v>
      </c>
      <c r="AA104">
        <f t="shared" si="27"/>
        <v>-4.289358871792397E-3</v>
      </c>
    </row>
    <row r="105" spans="1:27" x14ac:dyDescent="0.3">
      <c r="A105" s="1">
        <v>43977</v>
      </c>
      <c r="B105">
        <v>169.10000600000001</v>
      </c>
      <c r="C105">
        <v>164</v>
      </c>
      <c r="D105">
        <v>164</v>
      </c>
      <c r="E105">
        <f t="shared" si="28"/>
        <v>0.95872794292912356</v>
      </c>
      <c r="F105">
        <f t="shared" si="19"/>
        <v>2.3837208262912415</v>
      </c>
      <c r="G105">
        <f t="shared" si="20"/>
        <v>-4.1272057070876444E-2</v>
      </c>
      <c r="I105">
        <v>45.740001999999997</v>
      </c>
      <c r="J105">
        <v>45.91</v>
      </c>
      <c r="K105">
        <v>42.606403</v>
      </c>
      <c r="L105">
        <f t="shared" si="29"/>
        <v>1.0293722253859789</v>
      </c>
      <c r="M105">
        <f t="shared" si="21"/>
        <v>0.6758548330232147</v>
      </c>
      <c r="N105">
        <f t="shared" si="22"/>
        <v>2.9372225385978945E-2</v>
      </c>
      <c r="P105">
        <f t="shared" si="16"/>
        <v>3.0595756593144561</v>
      </c>
      <c r="Q105">
        <f t="shared" si="30"/>
        <v>-2.6514092345558127E-2</v>
      </c>
      <c r="T105">
        <f t="shared" si="17"/>
        <v>0.77910177479492371</v>
      </c>
      <c r="U105">
        <f t="shared" si="18"/>
        <v>0.22089822520507635</v>
      </c>
      <c r="V105">
        <f t="shared" si="23"/>
        <v>-2.6514092345558113E-2</v>
      </c>
      <c r="W105">
        <f t="shared" si="24"/>
        <v>1.3877787807814457E-17</v>
      </c>
      <c r="Y105">
        <f t="shared" si="25"/>
        <v>-4.2147932636633155E-2</v>
      </c>
      <c r="Z105">
        <f t="shared" si="26"/>
        <v>2.8949126510534728E-2</v>
      </c>
      <c r="AA105">
        <f t="shared" si="27"/>
        <v>-2.6871930233117618E-2</v>
      </c>
    </row>
    <row r="106" spans="1:27" x14ac:dyDescent="0.3">
      <c r="A106" s="1">
        <v>43978</v>
      </c>
      <c r="B106">
        <v>158.009995</v>
      </c>
      <c r="C106">
        <v>161.970001</v>
      </c>
      <c r="D106">
        <v>161.970001</v>
      </c>
      <c r="E106">
        <f t="shared" si="28"/>
        <v>0.98762195731707314</v>
      </c>
      <c r="F106">
        <f t="shared" si="19"/>
        <v>2.3542150281592269</v>
      </c>
      <c r="G106">
        <f t="shared" si="20"/>
        <v>-1.237804268292686E-2</v>
      </c>
      <c r="I106">
        <v>46.66</v>
      </c>
      <c r="J106">
        <v>46.240001999999997</v>
      </c>
      <c r="K106">
        <v>42.912658999999998</v>
      </c>
      <c r="L106">
        <f t="shared" si="29"/>
        <v>1.0071880275835534</v>
      </c>
      <c r="M106">
        <f t="shared" si="21"/>
        <v>0.68071289620546349</v>
      </c>
      <c r="N106">
        <f t="shared" si="22"/>
        <v>7.1880275835534135E-3</v>
      </c>
      <c r="P106">
        <f t="shared" si="16"/>
        <v>3.0349279243646903</v>
      </c>
      <c r="Q106">
        <f t="shared" si="30"/>
        <v>-8.0559324868235693E-3</v>
      </c>
      <c r="T106">
        <f t="shared" si="17"/>
        <v>0.77570706350531904</v>
      </c>
      <c r="U106">
        <f t="shared" si="18"/>
        <v>0.22429293649468099</v>
      </c>
      <c r="V106">
        <f t="shared" si="23"/>
        <v>-8.0559324868235537E-3</v>
      </c>
      <c r="W106">
        <f t="shared" si="24"/>
        <v>1.5612511283791264E-17</v>
      </c>
      <c r="Y106">
        <f t="shared" si="25"/>
        <v>-1.2455288751910333E-2</v>
      </c>
      <c r="Z106">
        <f t="shared" si="26"/>
        <v>7.1623168460899162E-3</v>
      </c>
      <c r="AA106">
        <f t="shared" si="27"/>
        <v>-8.0885568421423578E-3</v>
      </c>
    </row>
    <row r="107" spans="1:27" x14ac:dyDescent="0.3">
      <c r="A107" s="1">
        <v>43979</v>
      </c>
      <c r="B107">
        <v>159.229996</v>
      </c>
      <c r="C107">
        <v>163.550003</v>
      </c>
      <c r="D107">
        <v>163.550003</v>
      </c>
      <c r="E107">
        <f t="shared" si="28"/>
        <v>1.0097549051691368</v>
      </c>
      <c r="F107">
        <f t="shared" si="19"/>
        <v>2.377180172506677</v>
      </c>
      <c r="G107">
        <f t="shared" si="20"/>
        <v>9.7549051691367961E-3</v>
      </c>
      <c r="I107">
        <v>46.43</v>
      </c>
      <c r="J107">
        <v>45.040000999999997</v>
      </c>
      <c r="K107">
        <v>41.799011</v>
      </c>
      <c r="L107">
        <f t="shared" si="29"/>
        <v>0.9740484969714881</v>
      </c>
      <c r="M107">
        <f t="shared" si="21"/>
        <v>0.66304737341804032</v>
      </c>
      <c r="N107">
        <f t="shared" si="22"/>
        <v>-2.5951503028511902E-2</v>
      </c>
      <c r="P107">
        <f t="shared" si="16"/>
        <v>3.0402275459247172</v>
      </c>
      <c r="Q107">
        <f t="shared" si="30"/>
        <v>1.7462100228085031E-3</v>
      </c>
      <c r="T107">
        <f t="shared" si="17"/>
        <v>0.78190863565234647</v>
      </c>
      <c r="U107">
        <f t="shared" si="18"/>
        <v>0.21809136434765361</v>
      </c>
      <c r="V107">
        <f t="shared" si="23"/>
        <v>1.7462100228084207E-3</v>
      </c>
      <c r="W107">
        <f t="shared" si="24"/>
        <v>8.2399365108898337E-17</v>
      </c>
      <c r="Y107">
        <f t="shared" si="25"/>
        <v>9.707633255118947E-3</v>
      </c>
      <c r="Z107">
        <f t="shared" si="26"/>
        <v>-2.6294185027324293E-2</v>
      </c>
      <c r="AA107">
        <f t="shared" si="27"/>
        <v>1.7446871706420335E-3</v>
      </c>
    </row>
    <row r="108" spans="1:27" x14ac:dyDescent="0.3">
      <c r="A108" s="1">
        <v>43980</v>
      </c>
      <c r="B108">
        <v>168</v>
      </c>
      <c r="C108">
        <v>179.479996</v>
      </c>
      <c r="D108">
        <v>179.479996</v>
      </c>
      <c r="E108">
        <f t="shared" si="28"/>
        <v>1.0974013617107667</v>
      </c>
      <c r="F108">
        <f t="shared" si="19"/>
        <v>2.6087207583406626</v>
      </c>
      <c r="G108">
        <f t="shared" si="20"/>
        <v>9.7401361710766743E-2</v>
      </c>
      <c r="I108">
        <v>44.82</v>
      </c>
      <c r="J108">
        <v>45.470001000000003</v>
      </c>
      <c r="K108">
        <v>42.198062999999998</v>
      </c>
      <c r="L108">
        <f t="shared" si="29"/>
        <v>1.0095469244475663</v>
      </c>
      <c r="M108">
        <f t="shared" si="21"/>
        <v>0.6693774365972196</v>
      </c>
      <c r="N108">
        <f t="shared" si="22"/>
        <v>9.5469244475663295E-3</v>
      </c>
      <c r="P108">
        <f t="shared" si="16"/>
        <v>3.2780981949378822</v>
      </c>
      <c r="Q108">
        <f t="shared" si="30"/>
        <v>7.8241067624039928E-2</v>
      </c>
      <c r="T108">
        <f t="shared" si="17"/>
        <v>0.79580311607782572</v>
      </c>
      <c r="U108">
        <f t="shared" si="18"/>
        <v>0.20419688392217422</v>
      </c>
      <c r="V108">
        <f t="shared" si="23"/>
        <v>7.8241067624040025E-2</v>
      </c>
      <c r="W108">
        <f t="shared" si="24"/>
        <v>9.7144514654701197E-17</v>
      </c>
      <c r="Y108">
        <f t="shared" si="25"/>
        <v>9.2944986493769408E-2</v>
      </c>
      <c r="Z108">
        <f t="shared" si="26"/>
        <v>9.5016405508530563E-3</v>
      </c>
      <c r="AA108">
        <f t="shared" si="27"/>
        <v>7.5331072369642205E-2</v>
      </c>
    </row>
    <row r="109" spans="1:27" x14ac:dyDescent="0.3">
      <c r="A109" s="1">
        <v>43983</v>
      </c>
      <c r="B109">
        <v>183.179993</v>
      </c>
      <c r="C109">
        <v>204.14999399999999</v>
      </c>
      <c r="D109">
        <v>204.14999399999999</v>
      </c>
      <c r="E109">
        <f t="shared" si="28"/>
        <v>1.1374526328828312</v>
      </c>
      <c r="F109">
        <f t="shared" si="19"/>
        <v>2.9672962950306827</v>
      </c>
      <c r="G109">
        <f t="shared" si="20"/>
        <v>0.13745263288283116</v>
      </c>
      <c r="I109">
        <v>45.32</v>
      </c>
      <c r="J109">
        <v>46.279998999999997</v>
      </c>
      <c r="K109">
        <v>42.949776</v>
      </c>
      <c r="L109">
        <f t="shared" si="29"/>
        <v>1.0178139219328621</v>
      </c>
      <c r="M109">
        <f t="shared" si="21"/>
        <v>0.68130167399638186</v>
      </c>
      <c r="N109">
        <f t="shared" si="22"/>
        <v>1.7813921932862131E-2</v>
      </c>
      <c r="P109">
        <f t="shared" si="16"/>
        <v>3.6485979690270645</v>
      </c>
      <c r="Q109">
        <f t="shared" si="30"/>
        <v>0.11302278091038187</v>
      </c>
      <c r="T109">
        <f t="shared" si="17"/>
        <v>0.81327028086406083</v>
      </c>
      <c r="U109">
        <f t="shared" si="18"/>
        <v>0.18672971913593919</v>
      </c>
      <c r="V109">
        <f t="shared" si="23"/>
        <v>0.11302278091038177</v>
      </c>
      <c r="W109">
        <f t="shared" si="24"/>
        <v>9.7144514654701197E-17</v>
      </c>
      <c r="Y109">
        <f t="shared" si="25"/>
        <v>0.12879122955425346</v>
      </c>
      <c r="Z109">
        <f t="shared" si="26"/>
        <v>1.7657113535385304E-2</v>
      </c>
      <c r="AA109">
        <f t="shared" si="27"/>
        <v>0.10707954010764403</v>
      </c>
    </row>
    <row r="110" spans="1:27" x14ac:dyDescent="0.3">
      <c r="A110" s="1">
        <v>43984</v>
      </c>
      <c r="B110">
        <v>210.25</v>
      </c>
      <c r="C110">
        <v>208.08000200000001</v>
      </c>
      <c r="D110">
        <v>208.08000200000001</v>
      </c>
      <c r="E110">
        <f t="shared" si="28"/>
        <v>1.0192505908180434</v>
      </c>
      <c r="F110">
        <f t="shared" si="19"/>
        <v>3.0244185018422143</v>
      </c>
      <c r="G110">
        <f t="shared" si="20"/>
        <v>1.9250590818043367E-2</v>
      </c>
      <c r="I110">
        <v>46.860000999999997</v>
      </c>
      <c r="J110">
        <v>47.310001</v>
      </c>
      <c r="K110">
        <v>43.905662999999997</v>
      </c>
      <c r="L110">
        <f t="shared" si="29"/>
        <v>1.0222559251531369</v>
      </c>
      <c r="M110">
        <f t="shared" si="21"/>
        <v>0.69646467305955218</v>
      </c>
      <c r="N110">
        <f t="shared" si="22"/>
        <v>2.2255925153136902E-2</v>
      </c>
      <c r="P110">
        <f t="shared" si="16"/>
        <v>3.7208831749017666</v>
      </c>
      <c r="Q110">
        <f t="shared" si="30"/>
        <v>1.9811776054345032E-2</v>
      </c>
      <c r="T110">
        <f t="shared" si="17"/>
        <v>0.81282275193229114</v>
      </c>
      <c r="U110">
        <f t="shared" si="18"/>
        <v>0.18717724806770888</v>
      </c>
      <c r="V110">
        <f t="shared" si="23"/>
        <v>1.9811776054344976E-2</v>
      </c>
      <c r="W110">
        <f t="shared" si="24"/>
        <v>5.5511151231257827E-17</v>
      </c>
      <c r="Y110">
        <f t="shared" si="25"/>
        <v>1.9067642376653871E-2</v>
      </c>
      <c r="Z110">
        <f t="shared" si="26"/>
        <v>2.2011876433771706E-2</v>
      </c>
      <c r="AA110">
        <f t="shared" si="27"/>
        <v>1.9618076987765201E-2</v>
      </c>
    </row>
    <row r="111" spans="1:27" x14ac:dyDescent="0.3">
      <c r="A111" s="1">
        <v>43985</v>
      </c>
      <c r="B111">
        <v>211.699997</v>
      </c>
      <c r="C111">
        <v>223.86999499999999</v>
      </c>
      <c r="D111">
        <v>223.86999499999999</v>
      </c>
      <c r="E111">
        <f t="shared" si="28"/>
        <v>1.0758842409084559</v>
      </c>
      <c r="F111">
        <f t="shared" si="19"/>
        <v>3.2539242040440004</v>
      </c>
      <c r="G111">
        <f t="shared" si="20"/>
        <v>7.5884240908455913E-2</v>
      </c>
      <c r="I111">
        <v>48</v>
      </c>
      <c r="J111">
        <v>49.240001999999997</v>
      </c>
      <c r="K111">
        <v>45.696784999999998</v>
      </c>
      <c r="L111">
        <f t="shared" si="29"/>
        <v>1.0407947831239903</v>
      </c>
      <c r="M111">
        <f t="shared" si="21"/>
        <v>0.72487679835053742</v>
      </c>
      <c r="N111">
        <f t="shared" si="22"/>
        <v>4.0794783123990319E-2</v>
      </c>
      <c r="P111">
        <f t="shared" si="16"/>
        <v>3.9788010023945377</v>
      </c>
      <c r="Q111">
        <f t="shared" si="30"/>
        <v>6.9316292764171505E-2</v>
      </c>
      <c r="T111">
        <f t="shared" si="17"/>
        <v>0.81781526698261886</v>
      </c>
      <c r="U111">
        <f t="shared" si="18"/>
        <v>0.18218473301738117</v>
      </c>
      <c r="V111">
        <f t="shared" si="23"/>
        <v>6.9316292764171603E-2</v>
      </c>
      <c r="W111">
        <f t="shared" si="24"/>
        <v>9.7144514654701197E-17</v>
      </c>
      <c r="Y111">
        <f t="shared" si="25"/>
        <v>7.3142873153315482E-2</v>
      </c>
      <c r="Z111">
        <f t="shared" si="26"/>
        <v>3.998463583233431E-2</v>
      </c>
      <c r="AA111">
        <f t="shared" si="27"/>
        <v>6.7019465514830512E-2</v>
      </c>
    </row>
    <row r="112" spans="1:27" x14ac:dyDescent="0.3">
      <c r="A112" s="1">
        <v>43986</v>
      </c>
      <c r="B112">
        <v>221</v>
      </c>
      <c r="C112">
        <v>210.35000600000001</v>
      </c>
      <c r="D112">
        <v>210.35000600000001</v>
      </c>
      <c r="E112">
        <f t="shared" si="28"/>
        <v>0.93960785588975426</v>
      </c>
      <c r="F112">
        <f t="shared" si="19"/>
        <v>3.0574127445895583</v>
      </c>
      <c r="G112">
        <f t="shared" si="20"/>
        <v>-6.0392144110245738E-2</v>
      </c>
      <c r="I112">
        <v>48.880001</v>
      </c>
      <c r="J112">
        <v>49.099997999999999</v>
      </c>
      <c r="K112">
        <v>45.566856000000001</v>
      </c>
      <c r="L112">
        <f t="shared" si="29"/>
        <v>0.99715671463539512</v>
      </c>
      <c r="M112">
        <f t="shared" si="21"/>
        <v>0.72281576675864567</v>
      </c>
      <c r="N112">
        <f t="shared" si="22"/>
        <v>-2.843285364604875E-3</v>
      </c>
      <c r="P112">
        <f t="shared" si="16"/>
        <v>3.7802285113482039</v>
      </c>
      <c r="Q112">
        <f t="shared" si="30"/>
        <v>-4.9907620644216166E-2</v>
      </c>
      <c r="T112">
        <f t="shared" si="17"/>
        <v>0.80879045682324213</v>
      </c>
      <c r="U112">
        <f t="shared" si="18"/>
        <v>0.1912095431767579</v>
      </c>
      <c r="V112">
        <f t="shared" si="23"/>
        <v>-4.990762064421618E-2</v>
      </c>
      <c r="W112">
        <f t="shared" si="24"/>
        <v>1.3877787807814457E-17</v>
      </c>
      <c r="Y112">
        <f t="shared" si="25"/>
        <v>-6.2292665344981131E-2</v>
      </c>
      <c r="Z112">
        <f t="shared" si="26"/>
        <v>-2.8473351787770473E-3</v>
      </c>
      <c r="AA112">
        <f t="shared" si="27"/>
        <v>-5.1196057688050751E-2</v>
      </c>
    </row>
    <row r="113" spans="1:27" x14ac:dyDescent="0.3">
      <c r="A113" s="1">
        <v>43987</v>
      </c>
      <c r="B113">
        <v>200.11000100000001</v>
      </c>
      <c r="C113">
        <v>207.60000600000001</v>
      </c>
      <c r="D113">
        <v>207.60000600000001</v>
      </c>
      <c r="E113">
        <f t="shared" si="28"/>
        <v>0.9869265513593567</v>
      </c>
      <c r="F113">
        <f t="shared" si="19"/>
        <v>3.0174418160999186</v>
      </c>
      <c r="G113">
        <f t="shared" si="20"/>
        <v>-1.3073448640643304E-2</v>
      </c>
      <c r="I113">
        <v>51.650002000000001</v>
      </c>
      <c r="J113">
        <v>53.080002</v>
      </c>
      <c r="K113">
        <v>49.260468000000003</v>
      </c>
      <c r="L113">
        <f t="shared" si="29"/>
        <v>1.0810591803832155</v>
      </c>
      <c r="M113">
        <f t="shared" si="21"/>
        <v>0.78140662038016695</v>
      </c>
      <c r="N113">
        <f t="shared" si="22"/>
        <v>8.1059180383215468E-2</v>
      </c>
      <c r="P113">
        <f t="shared" si="16"/>
        <v>3.7988484364800854</v>
      </c>
      <c r="Q113">
        <f t="shared" si="30"/>
        <v>4.9256083530360151E-3</v>
      </c>
      <c r="T113">
        <f t="shared" si="17"/>
        <v>0.79430434421221663</v>
      </c>
      <c r="U113">
        <f t="shared" si="18"/>
        <v>0.20569565578778343</v>
      </c>
      <c r="V113">
        <f t="shared" si="23"/>
        <v>4.9256083530359526E-3</v>
      </c>
      <c r="W113">
        <f t="shared" si="24"/>
        <v>6.2450045135165055E-17</v>
      </c>
      <c r="Y113">
        <f t="shared" si="25"/>
        <v>-1.3159658366951033E-2</v>
      </c>
      <c r="Z113">
        <f t="shared" si="26"/>
        <v>7.7941283118987167E-2</v>
      </c>
      <c r="AA113">
        <f t="shared" si="27"/>
        <v>4.9135172320420887E-3</v>
      </c>
    </row>
    <row r="114" spans="1:27" x14ac:dyDescent="0.3">
      <c r="A114" s="1">
        <v>43990</v>
      </c>
      <c r="B114">
        <v>204.35000600000001</v>
      </c>
      <c r="C114">
        <v>209.83000200000001</v>
      </c>
      <c r="D114">
        <v>209.83000200000001</v>
      </c>
      <c r="E114">
        <f t="shared" si="28"/>
        <v>1.010741791597058</v>
      </c>
      <c r="F114">
        <f t="shared" si="19"/>
        <v>3.0498545472447121</v>
      </c>
      <c r="G114">
        <f t="shared" si="20"/>
        <v>1.0741791597058015E-2</v>
      </c>
      <c r="I114">
        <v>54.720001000000003</v>
      </c>
      <c r="J114">
        <v>54.740001999999997</v>
      </c>
      <c r="K114">
        <v>50.801017999999999</v>
      </c>
      <c r="L114">
        <f t="shared" si="29"/>
        <v>1.0312735559069393</v>
      </c>
      <c r="M114">
        <f t="shared" si="21"/>
        <v>0.80584398400867852</v>
      </c>
      <c r="N114">
        <f t="shared" si="22"/>
        <v>3.1273555906939254E-2</v>
      </c>
      <c r="P114">
        <f t="shared" si="16"/>
        <v>3.8556985312533905</v>
      </c>
      <c r="Q114">
        <f t="shared" si="30"/>
        <v>1.4965086321259147E-2</v>
      </c>
      <c r="T114">
        <f t="shared" si="17"/>
        <v>0.79099922427111569</v>
      </c>
      <c r="U114">
        <f t="shared" si="18"/>
        <v>0.20900077572888431</v>
      </c>
      <c r="V114">
        <f t="shared" si="23"/>
        <v>1.4965086321259244E-2</v>
      </c>
      <c r="W114">
        <f t="shared" si="24"/>
        <v>9.7144514654701197E-17</v>
      </c>
      <c r="Y114">
        <f t="shared" si="25"/>
        <v>1.0684508404661773E-2</v>
      </c>
      <c r="Z114">
        <f t="shared" si="26"/>
        <v>3.0794500497454545E-2</v>
      </c>
      <c r="AA114">
        <f t="shared" si="27"/>
        <v>1.4854214189090581E-2</v>
      </c>
    </row>
    <row r="115" spans="1:27" x14ac:dyDescent="0.3">
      <c r="A115" s="1">
        <v>43991</v>
      </c>
      <c r="B115">
        <v>209.83000200000001</v>
      </c>
      <c r="C115">
        <v>205.429993</v>
      </c>
      <c r="D115">
        <v>205.429993</v>
      </c>
      <c r="E115">
        <f t="shared" si="28"/>
        <v>0.97903060116255436</v>
      </c>
      <c r="F115">
        <f t="shared" si="19"/>
        <v>2.9859009308473405</v>
      </c>
      <c r="G115">
        <f t="shared" si="20"/>
        <v>-2.0969398837445641E-2</v>
      </c>
      <c r="I115">
        <v>52.880001</v>
      </c>
      <c r="J115">
        <v>53.52</v>
      </c>
      <c r="K115">
        <v>49.668804000000002</v>
      </c>
      <c r="L115">
        <f t="shared" si="29"/>
        <v>0.9777127694567066</v>
      </c>
      <c r="M115">
        <f t="shared" si="21"/>
        <v>0.78788395335515105</v>
      </c>
      <c r="N115">
        <f t="shared" si="22"/>
        <v>-2.2287230543293401E-2</v>
      </c>
      <c r="P115">
        <f t="shared" si="16"/>
        <v>3.7737848842024917</v>
      </c>
      <c r="Q115">
        <f t="shared" si="30"/>
        <v>-2.1244826686247831E-2</v>
      </c>
      <c r="T115">
        <f t="shared" si="17"/>
        <v>0.79122181641743117</v>
      </c>
      <c r="U115">
        <f t="shared" si="18"/>
        <v>0.20877818358256883</v>
      </c>
      <c r="V115">
        <f t="shared" si="23"/>
        <v>-2.1244826686247942E-2</v>
      </c>
      <c r="W115">
        <f t="shared" si="24"/>
        <v>1.1102230246251565E-16</v>
      </c>
      <c r="Y115">
        <f t="shared" si="25"/>
        <v>-2.1192379368577322E-2</v>
      </c>
      <c r="Z115">
        <f t="shared" si="26"/>
        <v>-2.2539343845249932E-2</v>
      </c>
      <c r="AA115">
        <f t="shared" si="27"/>
        <v>-2.1473746057629844E-2</v>
      </c>
    </row>
    <row r="116" spans="1:27" x14ac:dyDescent="0.3">
      <c r="A116" s="1">
        <v>43992</v>
      </c>
      <c r="B116">
        <v>208.88999899999999</v>
      </c>
      <c r="C116">
        <v>221.020004</v>
      </c>
      <c r="D116">
        <v>221.020004</v>
      </c>
      <c r="E116">
        <f t="shared" si="28"/>
        <v>1.0758896535619316</v>
      </c>
      <c r="F116">
        <f t="shared" si="19"/>
        <v>3.2124999180595943</v>
      </c>
      <c r="G116">
        <f t="shared" si="20"/>
        <v>7.5889653561931558E-2</v>
      </c>
      <c r="I116">
        <v>53.5</v>
      </c>
      <c r="J116">
        <v>50.650002000000001</v>
      </c>
      <c r="K116">
        <v>47.005324999999999</v>
      </c>
      <c r="L116">
        <f t="shared" si="29"/>
        <v>0.94637521370556854</v>
      </c>
      <c r="M116">
        <f t="shared" si="21"/>
        <v>0.74563384473166927</v>
      </c>
      <c r="N116">
        <f t="shared" si="22"/>
        <v>-5.3624786294431459E-2</v>
      </c>
      <c r="P116">
        <f t="shared" si="16"/>
        <v>3.9581337627912636</v>
      </c>
      <c r="Q116">
        <f t="shared" si="30"/>
        <v>4.8849864061006221E-2</v>
      </c>
      <c r="T116">
        <f t="shared" si="17"/>
        <v>0.81161984677196697</v>
      </c>
      <c r="U116">
        <f t="shared" si="18"/>
        <v>0.18838015322803306</v>
      </c>
      <c r="V116">
        <f t="shared" si="23"/>
        <v>4.8849864061006228E-2</v>
      </c>
      <c r="W116">
        <f t="shared" si="24"/>
        <v>6.9388939039072284E-18</v>
      </c>
      <c r="Y116">
        <f t="shared" si="25"/>
        <v>7.3147904028993987E-2</v>
      </c>
      <c r="Z116">
        <f t="shared" si="26"/>
        <v>-5.5116156743799716E-2</v>
      </c>
      <c r="AA116">
        <f t="shared" si="27"/>
        <v>4.7694196254993555E-2</v>
      </c>
    </row>
    <row r="117" spans="1:27" x14ac:dyDescent="0.3">
      <c r="A117" s="1">
        <v>43993</v>
      </c>
      <c r="B117">
        <v>219.179993</v>
      </c>
      <c r="C117">
        <v>222.070007</v>
      </c>
      <c r="D117">
        <v>222.070007</v>
      </c>
      <c r="E117">
        <f t="shared" si="28"/>
        <v>1.0047507147814547</v>
      </c>
      <c r="F117">
        <f t="shared" si="19"/>
        <v>3.2277615889057421</v>
      </c>
      <c r="G117">
        <f t="shared" si="20"/>
        <v>4.7507147814547235E-3</v>
      </c>
      <c r="I117">
        <v>47.529998999999997</v>
      </c>
      <c r="J117">
        <v>46.18</v>
      </c>
      <c r="K117">
        <v>42.856979000000003</v>
      </c>
      <c r="L117">
        <f t="shared" si="29"/>
        <v>0.91174731799003628</v>
      </c>
      <c r="M117">
        <f t="shared" si="21"/>
        <v>0.6798296581366986</v>
      </c>
      <c r="N117">
        <f t="shared" si="22"/>
        <v>-8.8252682009963723E-2</v>
      </c>
      <c r="P117">
        <f t="shared" si="16"/>
        <v>3.9075912470424408</v>
      </c>
      <c r="Q117">
        <f t="shared" si="30"/>
        <v>-1.2769279356840246E-2</v>
      </c>
      <c r="T117">
        <f t="shared" si="17"/>
        <v>0.82602334400988209</v>
      </c>
      <c r="U117">
        <f t="shared" si="18"/>
        <v>0.17397665599011791</v>
      </c>
      <c r="V117">
        <f t="shared" si="23"/>
        <v>-1.2769279356840239E-2</v>
      </c>
      <c r="W117">
        <f t="shared" si="24"/>
        <v>6.9388939039072284E-18</v>
      </c>
      <c r="Y117">
        <f t="shared" si="25"/>
        <v>4.7394657492142193E-3</v>
      </c>
      <c r="Z117">
        <f t="shared" si="26"/>
        <v>-9.2392390904434296E-2</v>
      </c>
      <c r="AA117">
        <f t="shared" si="27"/>
        <v>-1.2851507349275084E-2</v>
      </c>
    </row>
    <row r="118" spans="1:27" x14ac:dyDescent="0.3">
      <c r="A118" s="1">
        <v>43994</v>
      </c>
      <c r="B118">
        <v>224.78999300000001</v>
      </c>
      <c r="C118">
        <v>219.520004</v>
      </c>
      <c r="D118">
        <v>219.520004</v>
      </c>
      <c r="E118">
        <f t="shared" si="28"/>
        <v>0.98851712108965706</v>
      </c>
      <c r="F118">
        <f t="shared" si="19"/>
        <v>3.1906975934288813</v>
      </c>
      <c r="G118">
        <f t="shared" si="20"/>
        <v>-1.1482878910342942E-2</v>
      </c>
      <c r="I118">
        <v>48.040000999999997</v>
      </c>
      <c r="J118">
        <v>47.169998</v>
      </c>
      <c r="K118">
        <v>43.775737999999997</v>
      </c>
      <c r="L118">
        <f t="shared" si="29"/>
        <v>1.0214377919638244</v>
      </c>
      <c r="M118">
        <f t="shared" si="21"/>
        <v>0.69440370491867109</v>
      </c>
      <c r="N118">
        <f t="shared" si="22"/>
        <v>2.1437791963824449E-2</v>
      </c>
      <c r="P118">
        <f t="shared" si="16"/>
        <v>3.8851012983475526</v>
      </c>
      <c r="Q118">
        <f t="shared" si="30"/>
        <v>-5.7554506787039772E-3</v>
      </c>
      <c r="T118">
        <f t="shared" si="17"/>
        <v>0.82126496799091919</v>
      </c>
      <c r="U118">
        <f t="shared" si="18"/>
        <v>0.17873503200908078</v>
      </c>
      <c r="V118">
        <f t="shared" si="23"/>
        <v>-5.7554506787040275E-3</v>
      </c>
      <c r="W118">
        <f t="shared" si="24"/>
        <v>5.0306980803327406E-17</v>
      </c>
      <c r="Y118">
        <f t="shared" si="25"/>
        <v>-1.1549316248665452E-2</v>
      </c>
      <c r="Z118">
        <f t="shared" si="26"/>
        <v>2.1211234707309491E-2</v>
      </c>
      <c r="AA118">
        <f t="shared" si="27"/>
        <v>-5.7720771107261735E-3</v>
      </c>
    </row>
    <row r="119" spans="1:27" x14ac:dyDescent="0.3">
      <c r="A119" s="1">
        <v>43997</v>
      </c>
      <c r="B119">
        <v>227.83999600000001</v>
      </c>
      <c r="C119">
        <v>239.020004</v>
      </c>
      <c r="D119">
        <v>239.020004</v>
      </c>
      <c r="E119">
        <f t="shared" si="28"/>
        <v>1.0888301733084882</v>
      </c>
      <c r="F119">
        <f t="shared" si="19"/>
        <v>3.474127813628145</v>
      </c>
      <c r="G119">
        <f t="shared" si="20"/>
        <v>8.8830173308488192E-2</v>
      </c>
      <c r="I119">
        <v>45.349997999999999</v>
      </c>
      <c r="J119">
        <v>47.139999000000003</v>
      </c>
      <c r="K119">
        <v>43.747894000000002</v>
      </c>
      <c r="L119">
        <f t="shared" si="29"/>
        <v>0.99936393990662142</v>
      </c>
      <c r="M119">
        <f t="shared" si="21"/>
        <v>0.69396202243327809</v>
      </c>
      <c r="N119">
        <f t="shared" si="22"/>
        <v>-6.360600933785765E-4</v>
      </c>
      <c r="P119">
        <f t="shared" si="16"/>
        <v>4.1680898360614229</v>
      </c>
      <c r="Q119">
        <f t="shared" si="30"/>
        <v>7.2839423217673449E-2</v>
      </c>
      <c r="T119">
        <f t="shared" si="17"/>
        <v>0.83350598242166796</v>
      </c>
      <c r="U119">
        <f t="shared" si="18"/>
        <v>0.16649401757833215</v>
      </c>
      <c r="V119">
        <f t="shared" si="23"/>
        <v>7.2839423217673629E-2</v>
      </c>
      <c r="W119">
        <f t="shared" si="24"/>
        <v>1.8041124150158794E-16</v>
      </c>
      <c r="Y119">
        <f t="shared" si="25"/>
        <v>8.5103884414641548E-2</v>
      </c>
      <c r="Z119">
        <f t="shared" si="26"/>
        <v>-6.3626246541817325E-4</v>
      </c>
      <c r="AA119">
        <f t="shared" si="27"/>
        <v>7.0308800275907468E-2</v>
      </c>
    </row>
    <row r="120" spans="1:27" x14ac:dyDescent="0.3">
      <c r="A120" s="1">
        <v>43998</v>
      </c>
      <c r="B120">
        <v>235.990005</v>
      </c>
      <c r="C120">
        <v>242.55999800000001</v>
      </c>
      <c r="D120">
        <v>242.55999800000001</v>
      </c>
      <c r="E120">
        <f t="shared" si="28"/>
        <v>1.014810450760431</v>
      </c>
      <c r="F120">
        <f t="shared" si="19"/>
        <v>3.5255812125473285</v>
      </c>
      <c r="G120">
        <f t="shared" si="20"/>
        <v>1.4810450760430971E-2</v>
      </c>
      <c r="I120">
        <v>49.57</v>
      </c>
      <c r="J120">
        <v>48.200001</v>
      </c>
      <c r="K120">
        <v>44.731620999999997</v>
      </c>
      <c r="L120">
        <f t="shared" si="29"/>
        <v>1.0224862709962677</v>
      </c>
      <c r="M120">
        <f t="shared" si="21"/>
        <v>0.70956664053083074</v>
      </c>
      <c r="N120">
        <f t="shared" si="22"/>
        <v>2.2486270996267654E-2</v>
      </c>
      <c r="P120">
        <f t="shared" si="16"/>
        <v>4.2351478530781588</v>
      </c>
      <c r="Q120">
        <f t="shared" si="30"/>
        <v>1.6088428909704522E-2</v>
      </c>
      <c r="T120">
        <f t="shared" si="17"/>
        <v>0.8324576460736528</v>
      </c>
      <c r="U120">
        <f t="shared" si="18"/>
        <v>0.16754235392634728</v>
      </c>
      <c r="V120">
        <f t="shared" si="23"/>
        <v>1.6088428909704484E-2</v>
      </c>
      <c r="W120">
        <f t="shared" si="24"/>
        <v>3.8163916471489756E-17</v>
      </c>
      <c r="Y120">
        <f t="shared" si="25"/>
        <v>1.4701847034888232E-2</v>
      </c>
      <c r="Z120">
        <f t="shared" si="26"/>
        <v>2.2237181946162407E-2</v>
      </c>
      <c r="AA120">
        <f t="shared" si="27"/>
        <v>1.596038169729801E-2</v>
      </c>
    </row>
    <row r="121" spans="1:27" x14ac:dyDescent="0.3">
      <c r="A121" s="1">
        <v>43999</v>
      </c>
      <c r="B121">
        <v>243.179993</v>
      </c>
      <c r="C121">
        <v>236.759995</v>
      </c>
      <c r="D121">
        <v>236.759995</v>
      </c>
      <c r="E121">
        <f t="shared" si="28"/>
        <v>0.97608837793608494</v>
      </c>
      <c r="F121">
        <f t="shared" si="19"/>
        <v>3.4412788470372573</v>
      </c>
      <c r="G121">
        <f t="shared" si="20"/>
        <v>-2.3911622063915061E-2</v>
      </c>
      <c r="I121">
        <v>48</v>
      </c>
      <c r="J121">
        <v>46.630001</v>
      </c>
      <c r="K121">
        <v>43.274593000000003</v>
      </c>
      <c r="L121">
        <f t="shared" si="29"/>
        <v>0.96742733736387521</v>
      </c>
      <c r="M121">
        <f t="shared" si="21"/>
        <v>0.68645416573097151</v>
      </c>
      <c r="N121">
        <f t="shared" si="22"/>
        <v>-3.2572662636124794E-2</v>
      </c>
      <c r="P121">
        <f t="shared" si="16"/>
        <v>4.1277330127682283</v>
      </c>
      <c r="Q121">
        <f t="shared" si="30"/>
        <v>-2.5362713188834762E-2</v>
      </c>
      <c r="T121">
        <f t="shared" si="17"/>
        <v>0.83369705269028371</v>
      </c>
      <c r="U121">
        <f t="shared" si="18"/>
        <v>0.16630294730971637</v>
      </c>
      <c r="V121">
        <f t="shared" si="23"/>
        <v>-2.5362713188834679E-2</v>
      </c>
      <c r="W121">
        <f t="shared" si="24"/>
        <v>8.3266726846886741E-17</v>
      </c>
      <c r="Y121">
        <f t="shared" si="25"/>
        <v>-2.4202145504532289E-2</v>
      </c>
      <c r="Z121">
        <f t="shared" si="26"/>
        <v>-3.3114960398479831E-2</v>
      </c>
      <c r="AA121">
        <f t="shared" si="27"/>
        <v>-2.5689890725498304E-2</v>
      </c>
    </row>
    <row r="122" spans="1:27" x14ac:dyDescent="0.3">
      <c r="A122" s="1">
        <v>44000</v>
      </c>
      <c r="B122">
        <v>240.38999899999999</v>
      </c>
      <c r="C122">
        <v>241.570007</v>
      </c>
      <c r="D122">
        <v>241.570007</v>
      </c>
      <c r="E122">
        <f t="shared" si="28"/>
        <v>1.0203159828585062</v>
      </c>
      <c r="F122">
        <f t="shared" si="19"/>
        <v>3.5111918091050063</v>
      </c>
      <c r="G122">
        <f t="shared" si="20"/>
        <v>2.0315982858506221E-2</v>
      </c>
      <c r="I122">
        <v>46.110000999999997</v>
      </c>
      <c r="J122">
        <v>46.919998</v>
      </c>
      <c r="K122">
        <v>43.543723999999997</v>
      </c>
      <c r="L122">
        <f t="shared" si="29"/>
        <v>1.0062191457236811</v>
      </c>
      <c r="M122">
        <f t="shared" si="21"/>
        <v>0.69072332422028038</v>
      </c>
      <c r="N122">
        <f t="shared" si="22"/>
        <v>6.2191457236810965E-3</v>
      </c>
      <c r="P122">
        <f t="shared" si="16"/>
        <v>4.2019151333252864</v>
      </c>
      <c r="Q122">
        <f t="shared" si="30"/>
        <v>1.7971637295239873E-2</v>
      </c>
      <c r="T122">
        <f t="shared" si="17"/>
        <v>0.83561702169037866</v>
      </c>
      <c r="U122">
        <f t="shared" si="18"/>
        <v>0.16438297830962137</v>
      </c>
      <c r="V122">
        <f t="shared" si="23"/>
        <v>1.7971637295239744E-2</v>
      </c>
      <c r="W122">
        <f t="shared" si="24"/>
        <v>1.2836953722228372E-16</v>
      </c>
      <c r="Y122">
        <f t="shared" si="25"/>
        <v>2.0112366438241193E-2</v>
      </c>
      <c r="Z122">
        <f t="shared" si="26"/>
        <v>6.1998866456767924E-3</v>
      </c>
      <c r="AA122">
        <f t="shared" si="27"/>
        <v>1.7812056537096221E-2</v>
      </c>
    </row>
    <row r="123" spans="1:27" x14ac:dyDescent="0.3">
      <c r="A123" s="1">
        <v>44001</v>
      </c>
      <c r="B123">
        <v>241.63999899999999</v>
      </c>
      <c r="C123">
        <v>243.479996</v>
      </c>
      <c r="D123">
        <v>243.479996</v>
      </c>
      <c r="E123">
        <f t="shared" si="28"/>
        <v>1.0079065651556651</v>
      </c>
      <c r="F123">
        <f t="shared" si="19"/>
        <v>3.5389532759177329</v>
      </c>
      <c r="G123">
        <f t="shared" si="20"/>
        <v>7.906565155665124E-3</v>
      </c>
      <c r="I123">
        <v>48.220001000000003</v>
      </c>
      <c r="J123">
        <v>45.98</v>
      </c>
      <c r="K123">
        <v>42.671368000000001</v>
      </c>
      <c r="L123">
        <f t="shared" si="29"/>
        <v>0.97996597626790038</v>
      </c>
      <c r="M123">
        <f t="shared" si="21"/>
        <v>0.67688535675053652</v>
      </c>
      <c r="N123">
        <f t="shared" si="22"/>
        <v>-2.0034023732099615E-2</v>
      </c>
      <c r="P123">
        <f t="shared" si="16"/>
        <v>4.2158386326682695</v>
      </c>
      <c r="Q123">
        <f t="shared" si="30"/>
        <v>3.3136079385698292E-3</v>
      </c>
      <c r="T123">
        <f t="shared" si="17"/>
        <v>0.83944229945012738</v>
      </c>
      <c r="U123">
        <f t="shared" si="18"/>
        <v>0.16055770054987265</v>
      </c>
      <c r="V123">
        <f t="shared" si="23"/>
        <v>3.3136079385696448E-3</v>
      </c>
      <c r="W123">
        <f t="shared" si="24"/>
        <v>1.8431436932253575E-16</v>
      </c>
      <c r="Y123">
        <f t="shared" si="25"/>
        <v>7.8754720549363711E-3</v>
      </c>
      <c r="Z123">
        <f t="shared" si="26"/>
        <v>-2.0237426014185621E-2</v>
      </c>
      <c r="AA123">
        <f t="shared" si="27"/>
        <v>3.3081300375265156E-3</v>
      </c>
    </row>
    <row r="124" spans="1:27" x14ac:dyDescent="0.3">
      <c r="A124" s="1">
        <v>44004</v>
      </c>
      <c r="B124">
        <v>247.46499600000001</v>
      </c>
      <c r="C124">
        <v>251.270004</v>
      </c>
      <c r="D124">
        <v>251.270004</v>
      </c>
      <c r="E124">
        <f t="shared" si="28"/>
        <v>1.0319944477081395</v>
      </c>
      <c r="F124">
        <f t="shared" si="19"/>
        <v>3.6521801314456317</v>
      </c>
      <c r="G124">
        <f t="shared" si="20"/>
        <v>3.1994447708139528E-2</v>
      </c>
      <c r="I124">
        <v>45.689999</v>
      </c>
      <c r="J124">
        <v>46.419998</v>
      </c>
      <c r="K124">
        <v>43.079704</v>
      </c>
      <c r="L124">
        <f t="shared" si="29"/>
        <v>1.0095693205804885</v>
      </c>
      <c r="M124">
        <f t="shared" si="21"/>
        <v>0.68336268972552072</v>
      </c>
      <c r="N124">
        <f t="shared" si="22"/>
        <v>9.5693205804885384E-3</v>
      </c>
      <c r="P124">
        <f t="shared" si="16"/>
        <v>4.3355428211711526</v>
      </c>
      <c r="Q124">
        <f t="shared" si="30"/>
        <v>2.8393920861985222E-2</v>
      </c>
      <c r="T124">
        <f t="shared" si="17"/>
        <v>0.84238128467131013</v>
      </c>
      <c r="U124">
        <f t="shared" si="18"/>
        <v>0.15761871532868985</v>
      </c>
      <c r="V124">
        <f t="shared" si="23"/>
        <v>2.8393920861985316E-2</v>
      </c>
      <c r="W124">
        <f t="shared" si="24"/>
        <v>9.3675067702747583E-17</v>
      </c>
      <c r="Y124">
        <f t="shared" si="25"/>
        <v>3.149328691712628E-2</v>
      </c>
      <c r="Z124">
        <f t="shared" si="26"/>
        <v>9.5238246454818591E-3</v>
      </c>
      <c r="AA124">
        <f t="shared" si="27"/>
        <v>2.7998285133846171E-2</v>
      </c>
    </row>
    <row r="125" spans="1:27" x14ac:dyDescent="0.3">
      <c r="A125" s="1">
        <v>44005</v>
      </c>
      <c r="B125">
        <v>251.259995</v>
      </c>
      <c r="C125">
        <v>252.80999800000001</v>
      </c>
      <c r="D125">
        <v>252.80999800000001</v>
      </c>
      <c r="E125">
        <f t="shared" si="28"/>
        <v>1.0061288413876892</v>
      </c>
      <c r="F125">
        <f t="shared" si="19"/>
        <v>3.6745637641905318</v>
      </c>
      <c r="G125">
        <f t="shared" si="20"/>
        <v>6.1288413876892101E-3</v>
      </c>
      <c r="I125">
        <v>46.900002000000001</v>
      </c>
      <c r="J125">
        <v>46.700001</v>
      </c>
      <c r="K125">
        <v>43.339557999999997</v>
      </c>
      <c r="L125">
        <f t="shared" si="29"/>
        <v>1.0060319355954719</v>
      </c>
      <c r="M125">
        <f t="shared" si="21"/>
        <v>0.68748468945829355</v>
      </c>
      <c r="N125">
        <f t="shared" si="22"/>
        <v>6.0319355954718823E-3</v>
      </c>
      <c r="P125">
        <f t="shared" si="16"/>
        <v>4.3620484536488249</v>
      </c>
      <c r="Q125">
        <f t="shared" si="30"/>
        <v>6.1135672212118131E-3</v>
      </c>
      <c r="T125">
        <f t="shared" si="17"/>
        <v>0.84239407316000425</v>
      </c>
      <c r="U125">
        <f t="shared" si="18"/>
        <v>0.1576059268399958</v>
      </c>
      <c r="V125">
        <f t="shared" si="23"/>
        <v>6.1135672212120056E-3</v>
      </c>
      <c r="W125">
        <f t="shared" si="24"/>
        <v>1.9255430583342559E-16</v>
      </c>
      <c r="Y125">
        <f t="shared" si="25"/>
        <v>6.1101364268966582E-3</v>
      </c>
      <c r="Z125">
        <f t="shared" si="26"/>
        <v>6.0138162984051963E-3</v>
      </c>
      <c r="AA125">
        <f t="shared" si="27"/>
        <v>6.0949551878845551E-3</v>
      </c>
    </row>
    <row r="126" spans="1:27" x14ac:dyDescent="0.3">
      <c r="A126" s="1">
        <v>44006</v>
      </c>
      <c r="B126">
        <v>254.5</v>
      </c>
      <c r="C126">
        <v>255.89999399999999</v>
      </c>
      <c r="D126">
        <v>255.89999399999999</v>
      </c>
      <c r="E126">
        <f t="shared" si="28"/>
        <v>1.0122226020507306</v>
      </c>
      <c r="F126">
        <f t="shared" si="19"/>
        <v>3.7194764947902672</v>
      </c>
      <c r="G126">
        <f t="shared" si="20"/>
        <v>1.2222602050730558E-2</v>
      </c>
      <c r="I126">
        <v>45.91</v>
      </c>
      <c r="J126">
        <v>44.5</v>
      </c>
      <c r="K126">
        <v>41.297863</v>
      </c>
      <c r="L126">
        <f t="shared" si="29"/>
        <v>0.95289072860410806</v>
      </c>
      <c r="M126">
        <f t="shared" si="21"/>
        <v>0.65509778664208229</v>
      </c>
      <c r="N126">
        <f t="shared" si="22"/>
        <v>-4.7109271395891938E-2</v>
      </c>
      <c r="P126">
        <f t="shared" si="16"/>
        <v>4.3745742814323494</v>
      </c>
      <c r="Q126">
        <f t="shared" si="30"/>
        <v>2.8715471450224683E-3</v>
      </c>
      <c r="T126">
        <f t="shared" si="17"/>
        <v>0.85024879119721197</v>
      </c>
      <c r="U126">
        <f t="shared" si="18"/>
        <v>0.14975120880278806</v>
      </c>
      <c r="V126">
        <f t="shared" si="23"/>
        <v>2.8715471450222836E-3</v>
      </c>
      <c r="W126">
        <f t="shared" si="24"/>
        <v>1.8474805019152996E-16</v>
      </c>
      <c r="Y126">
        <f t="shared" si="25"/>
        <v>1.2148509177791767E-2</v>
      </c>
      <c r="Z126">
        <f t="shared" si="26"/>
        <v>-4.8255042338348174E-2</v>
      </c>
      <c r="AA126">
        <f t="shared" si="27"/>
        <v>2.8674321292783628E-3</v>
      </c>
    </row>
    <row r="127" spans="1:27" x14ac:dyDescent="0.3">
      <c r="A127" s="1">
        <v>44007</v>
      </c>
      <c r="B127">
        <v>258.23001099999999</v>
      </c>
      <c r="C127">
        <v>259.51001000000002</v>
      </c>
      <c r="D127">
        <v>259.51001000000002</v>
      </c>
      <c r="E127">
        <f t="shared" si="28"/>
        <v>1.0141071359306091</v>
      </c>
      <c r="F127">
        <f t="shared" si="19"/>
        <v>3.7719476552929789</v>
      </c>
      <c r="G127">
        <f t="shared" si="20"/>
        <v>1.4107135930609083E-2</v>
      </c>
      <c r="I127">
        <v>44.049999</v>
      </c>
      <c r="J127">
        <v>45.169998</v>
      </c>
      <c r="K127">
        <v>41.919651000000002</v>
      </c>
      <c r="L127">
        <f t="shared" si="29"/>
        <v>1.0150561785727268</v>
      </c>
      <c r="M127">
        <f t="shared" si="21"/>
        <v>0.66496105590036358</v>
      </c>
      <c r="N127">
        <f t="shared" si="22"/>
        <v>1.5056178572726786E-2</v>
      </c>
      <c r="P127">
        <f t="shared" si="16"/>
        <v>4.4369087111933423</v>
      </c>
      <c r="Q127">
        <f t="shared" si="30"/>
        <v>1.4249256213471506E-2</v>
      </c>
      <c r="T127">
        <f t="shared" si="17"/>
        <v>0.85012965125407847</v>
      </c>
      <c r="U127">
        <f t="shared" si="18"/>
        <v>0.14987034874592156</v>
      </c>
      <c r="V127">
        <f t="shared" si="23"/>
        <v>1.42492562134716E-2</v>
      </c>
      <c r="W127">
        <f t="shared" si="24"/>
        <v>9.3675067702747583E-17</v>
      </c>
      <c r="Y127">
        <f t="shared" si="25"/>
        <v>1.4008556324012458E-2</v>
      </c>
      <c r="Z127">
        <f t="shared" si="26"/>
        <v>1.4943959309601461E-2</v>
      </c>
      <c r="AA127">
        <f t="shared" si="27"/>
        <v>1.414868976766707E-2</v>
      </c>
    </row>
    <row r="128" spans="1:27" x14ac:dyDescent="0.3">
      <c r="A128" s="1">
        <v>44008</v>
      </c>
      <c r="B128">
        <v>260.51998900000001</v>
      </c>
      <c r="C128">
        <v>256.79998799999998</v>
      </c>
      <c r="D128">
        <v>256.79998799999998</v>
      </c>
      <c r="E128">
        <f t="shared" si="28"/>
        <v>0.98955715812272504</v>
      </c>
      <c r="F128">
        <f t="shared" si="19"/>
        <v>3.7325578023593962</v>
      </c>
      <c r="G128">
        <f t="shared" si="20"/>
        <v>-1.0442841877274955E-2</v>
      </c>
      <c r="I128">
        <v>44.880001</v>
      </c>
      <c r="J128">
        <v>43.619999</v>
      </c>
      <c r="K128">
        <v>40.481186000000001</v>
      </c>
      <c r="L128">
        <f t="shared" si="29"/>
        <v>0.96568518664432579</v>
      </c>
      <c r="M128">
        <f t="shared" si="21"/>
        <v>0.64214304137835054</v>
      </c>
      <c r="N128">
        <f t="shared" si="22"/>
        <v>-3.4314813355674212E-2</v>
      </c>
      <c r="P128">
        <f t="shared" si="16"/>
        <v>4.374700843737747</v>
      </c>
      <c r="Q128">
        <f t="shared" si="30"/>
        <v>-1.4020542567995231E-2</v>
      </c>
      <c r="T128">
        <f t="shared" si="17"/>
        <v>0.85321441069563431</v>
      </c>
      <c r="U128">
        <f t="shared" si="18"/>
        <v>0.14678558930436558</v>
      </c>
      <c r="V128">
        <f t="shared" si="23"/>
        <v>-1.4020542567995346E-2</v>
      </c>
      <c r="W128">
        <f t="shared" si="24"/>
        <v>1.1449174941446927E-16</v>
      </c>
      <c r="Y128">
        <f t="shared" si="25"/>
        <v>-1.0497750956263381E-2</v>
      </c>
      <c r="Z128">
        <f t="shared" si="26"/>
        <v>-3.4917391627459056E-2</v>
      </c>
      <c r="AA128">
        <f t="shared" si="27"/>
        <v>-1.411975884399725E-2</v>
      </c>
    </row>
    <row r="129" spans="1:27" x14ac:dyDescent="0.3">
      <c r="A129" s="1">
        <v>44011</v>
      </c>
      <c r="B129">
        <v>254.970001</v>
      </c>
      <c r="C129">
        <v>248.55999800000001</v>
      </c>
      <c r="D129">
        <v>248.55999800000001</v>
      </c>
      <c r="E129">
        <f t="shared" si="28"/>
        <v>0.96791281002707841</v>
      </c>
      <c r="F129">
        <f t="shared" si="19"/>
        <v>3.6127905110701795</v>
      </c>
      <c r="G129">
        <f t="shared" si="20"/>
        <v>-3.2087189972921593E-2</v>
      </c>
      <c r="I129">
        <v>43.810001</v>
      </c>
      <c r="J129">
        <v>44.32</v>
      </c>
      <c r="K129">
        <v>41.130817</v>
      </c>
      <c r="L129">
        <f t="shared" si="29"/>
        <v>1.0160477264673027</v>
      </c>
      <c r="M129">
        <f t="shared" si="21"/>
        <v>0.65244797725927217</v>
      </c>
      <c r="N129">
        <f t="shared" si="22"/>
        <v>1.6047726467302681E-2</v>
      </c>
      <c r="P129">
        <f t="shared" si="16"/>
        <v>4.2652384883294516</v>
      </c>
      <c r="Q129">
        <f t="shared" si="30"/>
        <v>-2.5021677897126948E-2</v>
      </c>
      <c r="T129">
        <f t="shared" si="17"/>
        <v>0.84703130222506884</v>
      </c>
      <c r="U129">
        <f t="shared" si="18"/>
        <v>0.15296869777493116</v>
      </c>
      <c r="V129">
        <f t="shared" si="23"/>
        <v>-2.5021677897126875E-2</v>
      </c>
      <c r="W129">
        <f t="shared" si="24"/>
        <v>7.2858385991025898E-17</v>
      </c>
      <c r="Y129">
        <f t="shared" si="25"/>
        <v>-3.2613268048388024E-2</v>
      </c>
      <c r="Z129">
        <f t="shared" si="26"/>
        <v>1.5920322922397926E-2</v>
      </c>
      <c r="AA129">
        <f t="shared" si="27"/>
        <v>-2.5340041972106174E-2</v>
      </c>
    </row>
    <row r="130" spans="1:27" x14ac:dyDescent="0.3">
      <c r="A130" s="1">
        <v>44012</v>
      </c>
      <c r="B130">
        <v>249.86999499999999</v>
      </c>
      <c r="C130">
        <v>253.53999300000001</v>
      </c>
      <c r="D130">
        <v>253.53999300000001</v>
      </c>
      <c r="E130">
        <f t="shared" si="28"/>
        <v>1.0200353839719616</v>
      </c>
      <c r="F130">
        <f t="shared" si="19"/>
        <v>3.68517415616973</v>
      </c>
      <c r="G130">
        <f t="shared" si="20"/>
        <v>2.0035383971961584E-2</v>
      </c>
      <c r="I130">
        <v>43.43</v>
      </c>
      <c r="J130">
        <v>44.720001000000003</v>
      </c>
      <c r="K130">
        <v>41.502032999999997</v>
      </c>
      <c r="L130">
        <f t="shared" si="29"/>
        <v>1.0090252522822485</v>
      </c>
      <c r="M130">
        <f t="shared" si="21"/>
        <v>0.65833648485507978</v>
      </c>
      <c r="N130">
        <f t="shared" si="22"/>
        <v>9.025252282248486E-3</v>
      </c>
      <c r="P130">
        <f t="shared" si="16"/>
        <v>4.3435106410248094</v>
      </c>
      <c r="Q130">
        <f t="shared" si="30"/>
        <v>1.8351178465055629E-2</v>
      </c>
      <c r="T130">
        <f t="shared" si="17"/>
        <v>0.84843216944444932</v>
      </c>
      <c r="U130">
        <f t="shared" si="18"/>
        <v>0.1515678305555507</v>
      </c>
      <c r="V130">
        <f t="shared" si="23"/>
        <v>1.835117846505567E-2</v>
      </c>
      <c r="W130">
        <f t="shared" si="24"/>
        <v>4.163336342344337E-17</v>
      </c>
      <c r="Y130">
        <f t="shared" si="25"/>
        <v>1.9837316863079518E-2</v>
      </c>
      <c r="Z130">
        <f t="shared" si="26"/>
        <v>8.984768097199192E-3</v>
      </c>
      <c r="AA130">
        <f t="shared" si="27"/>
        <v>1.818482766284632E-2</v>
      </c>
    </row>
    <row r="131" spans="1:27" x14ac:dyDescent="0.3">
      <c r="A131" s="1">
        <v>44013</v>
      </c>
      <c r="B131">
        <v>251.35000600000001</v>
      </c>
      <c r="C131">
        <v>259.13000499999998</v>
      </c>
      <c r="D131">
        <v>259.13000499999998</v>
      </c>
      <c r="E131">
        <f t="shared" si="28"/>
        <v>1.022047851046521</v>
      </c>
      <c r="F131">
        <f t="shared" si="19"/>
        <v>3.7664243270454487</v>
      </c>
      <c r="G131">
        <f t="shared" si="20"/>
        <v>2.2047851046520961E-2</v>
      </c>
      <c r="I131">
        <v>44.490001999999997</v>
      </c>
      <c r="J131">
        <v>43.709999000000003</v>
      </c>
      <c r="K131">
        <v>40.564712999999998</v>
      </c>
      <c r="L131">
        <f t="shared" si="29"/>
        <v>0.97741508229247465</v>
      </c>
      <c r="M131">
        <f t="shared" si="21"/>
        <v>0.64346800952076633</v>
      </c>
      <c r="N131">
        <f t="shared" si="22"/>
        <v>-2.2584917707525354E-2</v>
      </c>
      <c r="P131">
        <f t="shared" si="16"/>
        <v>4.409892336566215</v>
      </c>
      <c r="Q131">
        <f t="shared" si="30"/>
        <v>1.5282959114782724E-2</v>
      </c>
      <c r="T131">
        <f t="shared" si="17"/>
        <v>0.85408532444540219</v>
      </c>
      <c r="U131">
        <f t="shared" si="18"/>
        <v>0.14591467555459778</v>
      </c>
      <c r="V131">
        <f t="shared" si="23"/>
        <v>1.5282959114782592E-2</v>
      </c>
      <c r="W131">
        <f t="shared" si="24"/>
        <v>1.3183898417423734E-16</v>
      </c>
      <c r="Y131">
        <f t="shared" si="25"/>
        <v>2.1808311670298761E-2</v>
      </c>
      <c r="Z131">
        <f t="shared" si="26"/>
        <v>-2.2843863231300367E-2</v>
      </c>
      <c r="AA131">
        <f t="shared" si="27"/>
        <v>1.5167351095524806E-2</v>
      </c>
    </row>
    <row r="132" spans="1:27" x14ac:dyDescent="0.3">
      <c r="A132" s="1">
        <v>44014</v>
      </c>
      <c r="B132">
        <v>261</v>
      </c>
      <c r="C132">
        <v>261.73998999999998</v>
      </c>
      <c r="D132">
        <v>261.73998999999998</v>
      </c>
      <c r="E132">
        <f t="shared" si="28"/>
        <v>1.0100721064702638</v>
      </c>
      <c r="F132">
        <f t="shared" si="19"/>
        <v>3.8043601538796423</v>
      </c>
      <c r="G132">
        <f t="shared" si="20"/>
        <v>1.0072106470263797E-2</v>
      </c>
      <c r="I132">
        <v>44.619999</v>
      </c>
      <c r="J132">
        <v>44.080002</v>
      </c>
      <c r="K132">
        <v>40.908088999999997</v>
      </c>
      <c r="L132">
        <f t="shared" si="29"/>
        <v>1.0084648941063628</v>
      </c>
      <c r="M132">
        <f t="shared" si="21"/>
        <v>0.6489148980821916</v>
      </c>
      <c r="N132">
        <f t="shared" si="22"/>
        <v>8.4648941063627525E-3</v>
      </c>
      <c r="P132">
        <f t="shared" si="16"/>
        <v>4.4532750519618336</v>
      </c>
      <c r="Q132">
        <f t="shared" si="30"/>
        <v>9.8375905996377355E-3</v>
      </c>
      <c r="T132">
        <f t="shared" si="17"/>
        <v>0.85428366976876491</v>
      </c>
      <c r="U132">
        <f t="shared" si="18"/>
        <v>0.1457163302312352</v>
      </c>
      <c r="V132">
        <f t="shared" si="23"/>
        <v>9.8375905996378379E-3</v>
      </c>
      <c r="W132">
        <f t="shared" si="24"/>
        <v>1.0234868508263162E-16</v>
      </c>
      <c r="Y132">
        <f t="shared" si="25"/>
        <v>1.0021720849657283E-2</v>
      </c>
      <c r="Z132">
        <f t="shared" si="26"/>
        <v>8.4292677976825527E-3</v>
      </c>
      <c r="AA132">
        <f t="shared" si="27"/>
        <v>9.7895165367417221E-3</v>
      </c>
    </row>
    <row r="133" spans="1:27" x14ac:dyDescent="0.3">
      <c r="A133" s="1">
        <v>44018</v>
      </c>
      <c r="B133">
        <v>265</v>
      </c>
      <c r="C133">
        <v>261</v>
      </c>
      <c r="D133">
        <v>261</v>
      </c>
      <c r="E133">
        <f t="shared" si="28"/>
        <v>0.99717280496572203</v>
      </c>
      <c r="F133">
        <f t="shared" si="19"/>
        <v>3.7936044857439888</v>
      </c>
      <c r="G133">
        <f t="shared" si="20"/>
        <v>-2.8271950342779739E-3</v>
      </c>
      <c r="I133">
        <v>44.669998</v>
      </c>
      <c r="J133">
        <v>44.389999000000003</v>
      </c>
      <c r="K133">
        <v>41.195782000000001</v>
      </c>
      <c r="L133">
        <f t="shared" si="29"/>
        <v>1.0070326677934041</v>
      </c>
      <c r="M133">
        <f t="shared" si="21"/>
        <v>0.65347850098659432</v>
      </c>
      <c r="N133">
        <f t="shared" si="22"/>
        <v>7.0326677934040571E-3</v>
      </c>
      <c r="P133">
        <f t="shared" si="16"/>
        <v>4.4470829867305834</v>
      </c>
      <c r="Q133">
        <f t="shared" si="30"/>
        <v>-1.3904520064446091E-3</v>
      </c>
      <c r="T133">
        <f t="shared" si="17"/>
        <v>0.85305457466467915</v>
      </c>
      <c r="U133">
        <f t="shared" si="18"/>
        <v>0.14694542533532079</v>
      </c>
      <c r="V133">
        <f t="shared" si="23"/>
        <v>-1.3904520064447789E-3</v>
      </c>
      <c r="W133">
        <f t="shared" si="24"/>
        <v>1.6978606021122999E-16</v>
      </c>
      <c r="Y133">
        <f t="shared" si="25"/>
        <v>-2.8311990987871486E-3</v>
      </c>
      <c r="Z133">
        <f t="shared" si="26"/>
        <v>7.0080539186817828E-3</v>
      </c>
      <c r="AA133">
        <f t="shared" si="27"/>
        <v>-1.3914195818511689E-3</v>
      </c>
    </row>
    <row r="134" spans="1:27" x14ac:dyDescent="0.3">
      <c r="A134" s="1">
        <v>44019</v>
      </c>
      <c r="B134">
        <v>261.54998799999998</v>
      </c>
      <c r="C134">
        <v>262.10000600000001</v>
      </c>
      <c r="D134">
        <v>262.10000600000001</v>
      </c>
      <c r="E134">
        <f t="shared" si="28"/>
        <v>1.0042145823754789</v>
      </c>
      <c r="F134">
        <f t="shared" si="19"/>
        <v>3.8095929443491432</v>
      </c>
      <c r="G134">
        <f t="shared" si="20"/>
        <v>4.2145823754788925E-3</v>
      </c>
      <c r="I134">
        <v>43.900002000000001</v>
      </c>
      <c r="J134">
        <v>43.240001999999997</v>
      </c>
      <c r="K134">
        <v>40.128532</v>
      </c>
      <c r="L134">
        <f t="shared" si="29"/>
        <v>0.97409322148563648</v>
      </c>
      <c r="M134">
        <f t="shared" si="21"/>
        <v>0.63654897819763634</v>
      </c>
      <c r="N134">
        <f t="shared" si="22"/>
        <v>-2.5906778514363515E-2</v>
      </c>
      <c r="P134">
        <f t="shared" ref="P134:P197" si="31">F134+M134</f>
        <v>4.4461419225467793</v>
      </c>
      <c r="Q134">
        <f t="shared" si="30"/>
        <v>-2.1161381215784036E-4</v>
      </c>
      <c r="T134">
        <f t="shared" ref="T134:T197" si="32">F134/P134</f>
        <v>0.85683116074868415</v>
      </c>
      <c r="U134">
        <f t="shared" ref="U134:U197" si="33">M134/P134</f>
        <v>0.14316883925131588</v>
      </c>
      <c r="V134">
        <f t="shared" si="23"/>
        <v>-2.1161381215769725E-4</v>
      </c>
      <c r="W134">
        <f t="shared" si="24"/>
        <v>1.4311468676808659E-16</v>
      </c>
      <c r="Y134">
        <f t="shared" si="25"/>
        <v>4.2057258986928948E-3</v>
      </c>
      <c r="Z134">
        <f t="shared" si="26"/>
        <v>-2.6248269975321131E-2</v>
      </c>
      <c r="AA134">
        <f t="shared" si="27"/>
        <v>-2.1163620551980719E-4</v>
      </c>
    </row>
    <row r="135" spans="1:27" x14ac:dyDescent="0.3">
      <c r="A135" s="1">
        <v>44020</v>
      </c>
      <c r="B135">
        <v>263.79998799999998</v>
      </c>
      <c r="C135">
        <v>266.32000699999998</v>
      </c>
      <c r="D135">
        <v>266.32000699999998</v>
      </c>
      <c r="E135">
        <f t="shared" si="28"/>
        <v>1.0161007283609143</v>
      </c>
      <c r="F135">
        <f t="shared" ref="F135:F198" si="34">F134*E135</f>
        <v>3.8709301655117643</v>
      </c>
      <c r="G135">
        <f t="shared" ref="G135:G198" si="35">E135-1</f>
        <v>1.6100728360914252E-2</v>
      </c>
      <c r="I135">
        <v>43.150002000000001</v>
      </c>
      <c r="J135">
        <v>43.139999000000003</v>
      </c>
      <c r="K135">
        <v>40.035727999999999</v>
      </c>
      <c r="L135">
        <f t="shared" si="29"/>
        <v>0.99768733129833898</v>
      </c>
      <c r="M135">
        <f t="shared" ref="M135:M198" si="36">M134*L135</f>
        <v>0.63507685129868441</v>
      </c>
      <c r="N135">
        <f t="shared" ref="N135:N198" si="37">L135-1</f>
        <v>-2.3126687016610248E-3</v>
      </c>
      <c r="P135">
        <f t="shared" si="31"/>
        <v>4.5060070168104485</v>
      </c>
      <c r="Q135">
        <f t="shared" si="30"/>
        <v>1.346450367679175E-2</v>
      </c>
      <c r="T135">
        <f t="shared" si="32"/>
        <v>0.85905995065488827</v>
      </c>
      <c r="U135">
        <f t="shared" si="33"/>
        <v>0.14094004934511176</v>
      </c>
      <c r="V135">
        <f t="shared" ref="V135:V198" si="38">T134*G135+U134*N135</f>
        <v>1.3464503676791761E-2</v>
      </c>
      <c r="W135">
        <f t="shared" ref="W135:W198" si="39">ABS(V135-Q135)</f>
        <v>1.0408340855860843E-17</v>
      </c>
      <c r="Y135">
        <f t="shared" ref="Y135:Y198" si="40">LN(1+G135)</f>
        <v>1.597248632955222E-2</v>
      </c>
      <c r="Z135">
        <f t="shared" ref="Z135:Z198" si="41">LN(1+N135)</f>
        <v>-2.3153470501414632E-3</v>
      </c>
      <c r="AA135">
        <f t="shared" ref="AA135:AA198" si="42">LN(1+Q135)</f>
        <v>1.3374662790701488E-2</v>
      </c>
    </row>
    <row r="136" spans="1:27" x14ac:dyDescent="0.3">
      <c r="A136" s="1">
        <v>44021</v>
      </c>
      <c r="B136">
        <v>269.01001000000002</v>
      </c>
      <c r="C136">
        <v>269.51998900000001</v>
      </c>
      <c r="D136">
        <v>269.51998900000001</v>
      </c>
      <c r="E136">
        <f t="shared" ref="E136:E199" si="43">D136/D135</f>
        <v>1.0120155524027155</v>
      </c>
      <c r="F136">
        <f t="shared" si="34"/>
        <v>3.9174415297627228</v>
      </c>
      <c r="G136">
        <f t="shared" si="35"/>
        <v>1.2015552402715457E-2</v>
      </c>
      <c r="I136">
        <v>42.900002000000001</v>
      </c>
      <c r="J136">
        <v>41.360000999999997</v>
      </c>
      <c r="K136">
        <v>38.383816000000003</v>
      </c>
      <c r="L136">
        <f t="shared" ref="L136:L199" si="44">K136/K135</f>
        <v>0.95873905427672013</v>
      </c>
      <c r="M136">
        <f t="shared" si="36"/>
        <v>0.60887297980713795</v>
      </c>
      <c r="N136">
        <f t="shared" si="37"/>
        <v>-4.1260945723279874E-2</v>
      </c>
      <c r="P136">
        <f t="shared" si="31"/>
        <v>4.5263145095698611</v>
      </c>
      <c r="Q136">
        <f t="shared" ref="Q136:Q199" si="45">(P136/P135)-1</f>
        <v>4.5067601279029645E-3</v>
      </c>
      <c r="T136">
        <f t="shared" si="32"/>
        <v>0.86548151293512299</v>
      </c>
      <c r="U136">
        <f t="shared" si="33"/>
        <v>0.1345184870648769</v>
      </c>
      <c r="V136">
        <f t="shared" si="38"/>
        <v>4.506760127902922E-3</v>
      </c>
      <c r="W136">
        <f t="shared" si="39"/>
        <v>4.2500725161431774E-17</v>
      </c>
      <c r="Y136">
        <f t="shared" si="40"/>
        <v>1.1943938734060482E-2</v>
      </c>
      <c r="Z136">
        <f t="shared" si="41"/>
        <v>-4.2136343026368268E-2</v>
      </c>
      <c r="AA136">
        <f t="shared" si="42"/>
        <v>4.4966350938134905E-3</v>
      </c>
    </row>
    <row r="137" spans="1:27" x14ac:dyDescent="0.3">
      <c r="A137" s="1">
        <v>44022</v>
      </c>
      <c r="B137">
        <v>271.76998900000001</v>
      </c>
      <c r="C137">
        <v>275.86999500000002</v>
      </c>
      <c r="D137">
        <v>275.86999500000002</v>
      </c>
      <c r="E137">
        <f t="shared" si="43"/>
        <v>1.0235604269039948</v>
      </c>
      <c r="F137">
        <f t="shared" si="34"/>
        <v>4.0097381245753709</v>
      </c>
      <c r="G137">
        <f t="shared" si="35"/>
        <v>2.3560426903994847E-2</v>
      </c>
      <c r="I137">
        <v>41.119999</v>
      </c>
      <c r="J137">
        <v>42.650002000000001</v>
      </c>
      <c r="K137">
        <v>39.58099</v>
      </c>
      <c r="L137">
        <f t="shared" si="44"/>
        <v>1.0311895513463278</v>
      </c>
      <c r="M137">
        <f t="shared" si="36"/>
        <v>0.62786345487422435</v>
      </c>
      <c r="N137">
        <f t="shared" si="37"/>
        <v>3.1189551346327837E-2</v>
      </c>
      <c r="P137">
        <f t="shared" si="31"/>
        <v>4.6376015794495951</v>
      </c>
      <c r="Q137">
        <f t="shared" si="45"/>
        <v>2.4586685181607004E-2</v>
      </c>
      <c r="T137">
        <f t="shared" si="32"/>
        <v>0.86461461940662421</v>
      </c>
      <c r="U137">
        <f t="shared" si="33"/>
        <v>0.13538538059337585</v>
      </c>
      <c r="V137">
        <f t="shared" si="38"/>
        <v>2.458668518160715E-2</v>
      </c>
      <c r="W137">
        <f t="shared" si="39"/>
        <v>1.457167719820518E-16</v>
      </c>
      <c r="Y137">
        <f t="shared" si="40"/>
        <v>2.3287163852747636E-2</v>
      </c>
      <c r="Z137">
        <f t="shared" si="41"/>
        <v>3.0713040072429299E-2</v>
      </c>
      <c r="AA137">
        <f t="shared" si="42"/>
        <v>2.4289297300529086E-2</v>
      </c>
    </row>
    <row r="138" spans="1:27" x14ac:dyDescent="0.3">
      <c r="A138" s="1">
        <v>44025</v>
      </c>
      <c r="B138">
        <v>278.63000499999998</v>
      </c>
      <c r="C138">
        <v>260.29998799999998</v>
      </c>
      <c r="D138">
        <v>260.29998799999998</v>
      </c>
      <c r="E138">
        <f t="shared" si="43"/>
        <v>0.94356034624207674</v>
      </c>
      <c r="F138">
        <f t="shared" si="34"/>
        <v>3.7834298931643926</v>
      </c>
      <c r="G138">
        <f t="shared" si="35"/>
        <v>-5.6439653757923258E-2</v>
      </c>
      <c r="I138">
        <v>42.98</v>
      </c>
      <c r="J138">
        <v>42.66</v>
      </c>
      <c r="K138">
        <v>39.590266999999997</v>
      </c>
      <c r="L138">
        <f t="shared" si="44"/>
        <v>1.0002343801910967</v>
      </c>
      <c r="M138">
        <f t="shared" si="36"/>
        <v>0.62801061363076038</v>
      </c>
      <c r="N138">
        <f t="shared" si="37"/>
        <v>2.3438019109667252E-4</v>
      </c>
      <c r="P138">
        <f t="shared" si="31"/>
        <v>4.4114405067951532</v>
      </c>
      <c r="Q138">
        <f t="shared" si="45"/>
        <v>-4.8766818101973142E-2</v>
      </c>
      <c r="T138">
        <f t="shared" si="32"/>
        <v>0.85764046626869261</v>
      </c>
      <c r="U138">
        <f t="shared" si="33"/>
        <v>0.14235953373130739</v>
      </c>
      <c r="V138">
        <f t="shared" si="38"/>
        <v>-4.8766818101973294E-2</v>
      </c>
      <c r="W138">
        <f t="shared" si="39"/>
        <v>1.5265566588595902E-16</v>
      </c>
      <c r="Y138">
        <f t="shared" si="40"/>
        <v>-5.8094956237881079E-2</v>
      </c>
      <c r="Z138">
        <f t="shared" si="41"/>
        <v>2.3435272835074856E-4</v>
      </c>
      <c r="AA138">
        <f t="shared" si="42"/>
        <v>-4.9996049964608803E-2</v>
      </c>
    </row>
    <row r="139" spans="1:27" x14ac:dyDescent="0.3">
      <c r="A139" s="1">
        <v>44026</v>
      </c>
      <c r="B139">
        <v>260.959991</v>
      </c>
      <c r="C139">
        <v>260.01001000000002</v>
      </c>
      <c r="D139">
        <v>260.01001000000002</v>
      </c>
      <c r="E139">
        <f t="shared" si="43"/>
        <v>0.9988859853501032</v>
      </c>
      <c r="F139">
        <f t="shared" si="34"/>
        <v>3.7792150968365501</v>
      </c>
      <c r="G139">
        <f t="shared" si="35"/>
        <v>-1.1140146498967995E-3</v>
      </c>
      <c r="I139">
        <v>42.529998999999997</v>
      </c>
      <c r="J139">
        <v>44.07</v>
      </c>
      <c r="K139">
        <v>40.898808000000002</v>
      </c>
      <c r="L139">
        <f t="shared" si="44"/>
        <v>1.0330520882822034</v>
      </c>
      <c r="M139">
        <f t="shared" si="36"/>
        <v>0.64876767587464501</v>
      </c>
      <c r="N139">
        <f t="shared" si="37"/>
        <v>3.3052088282203407E-2</v>
      </c>
      <c r="P139">
        <f t="shared" si="31"/>
        <v>4.4279827727111947</v>
      </c>
      <c r="Q139">
        <f t="shared" si="45"/>
        <v>3.7498558329327469E-3</v>
      </c>
      <c r="T139">
        <f t="shared" si="32"/>
        <v>0.8534845980266963</v>
      </c>
      <c r="U139">
        <f t="shared" si="33"/>
        <v>0.14651540197330379</v>
      </c>
      <c r="V139">
        <f t="shared" si="38"/>
        <v>3.7498558329328397E-3</v>
      </c>
      <c r="W139">
        <f t="shared" si="39"/>
        <v>9.280770596475918E-17</v>
      </c>
      <c r="Y139">
        <f t="shared" si="40"/>
        <v>-1.1146356254436354E-3</v>
      </c>
      <c r="Z139">
        <f t="shared" si="41"/>
        <v>3.2517613147172802E-2</v>
      </c>
      <c r="AA139">
        <f t="shared" si="42"/>
        <v>3.7428426503635362E-3</v>
      </c>
    </row>
    <row r="140" spans="1:27" x14ac:dyDescent="0.3">
      <c r="A140" s="1">
        <v>44027</v>
      </c>
      <c r="B140">
        <v>253.699997</v>
      </c>
      <c r="C140">
        <v>256.22000100000002</v>
      </c>
      <c r="D140">
        <v>256.22000100000002</v>
      </c>
      <c r="E140">
        <f t="shared" si="43"/>
        <v>0.98542360349895763</v>
      </c>
      <c r="F140">
        <f t="shared" si="34"/>
        <v>3.7241277591223354</v>
      </c>
      <c r="G140">
        <f t="shared" si="35"/>
        <v>-1.4576396501042366E-2</v>
      </c>
      <c r="I140">
        <v>45.029998999999997</v>
      </c>
      <c r="J140">
        <v>44.630001</v>
      </c>
      <c r="K140">
        <v>41.418506999999998</v>
      </c>
      <c r="L140">
        <f t="shared" si="44"/>
        <v>1.0127069473516195</v>
      </c>
      <c r="M140">
        <f t="shared" si="36"/>
        <v>0.65701153257541667</v>
      </c>
      <c r="N140">
        <f t="shared" si="37"/>
        <v>1.270694735161948E-2</v>
      </c>
      <c r="P140">
        <f t="shared" si="31"/>
        <v>4.3811392916977523</v>
      </c>
      <c r="Q140">
        <f t="shared" si="45"/>
        <v>-1.0578966409293566E-2</v>
      </c>
      <c r="T140">
        <f t="shared" si="32"/>
        <v>0.85003637436945867</v>
      </c>
      <c r="U140">
        <f t="shared" si="33"/>
        <v>0.1499636256305413</v>
      </c>
      <c r="V140">
        <f t="shared" si="38"/>
        <v>-1.057896640929375E-2</v>
      </c>
      <c r="W140">
        <f t="shared" si="39"/>
        <v>1.8388068845354155E-16</v>
      </c>
      <c r="Y140">
        <f t="shared" si="40"/>
        <v>-1.4683675943238118E-2</v>
      </c>
      <c r="Z140">
        <f t="shared" si="41"/>
        <v>1.2626891559310899E-2</v>
      </c>
      <c r="AA140">
        <f t="shared" si="42"/>
        <v>-1.0635321479074892E-2</v>
      </c>
    </row>
    <row r="141" spans="1:27" x14ac:dyDescent="0.3">
      <c r="A141" s="1">
        <v>44028</v>
      </c>
      <c r="B141">
        <v>250.38999899999999</v>
      </c>
      <c r="C141">
        <v>248.53999300000001</v>
      </c>
      <c r="D141">
        <v>248.53999300000001</v>
      </c>
      <c r="E141">
        <f t="shared" si="43"/>
        <v>0.97002572800708087</v>
      </c>
      <c r="F141">
        <f t="shared" si="34"/>
        <v>3.6124997407340222</v>
      </c>
      <c r="G141">
        <f t="shared" si="35"/>
        <v>-2.9974271992919133E-2</v>
      </c>
      <c r="I141">
        <v>44.310001</v>
      </c>
      <c r="J141">
        <v>44.279998999999997</v>
      </c>
      <c r="K141">
        <v>41.093696999999999</v>
      </c>
      <c r="L141">
        <f t="shared" si="44"/>
        <v>0.99215785349288421</v>
      </c>
      <c r="M141">
        <f t="shared" si="36"/>
        <v>0.65185915188009558</v>
      </c>
      <c r="N141">
        <f t="shared" si="37"/>
        <v>-7.8421465071157881E-3</v>
      </c>
      <c r="P141">
        <f t="shared" si="31"/>
        <v>4.2643588926141174</v>
      </c>
      <c r="Q141">
        <f t="shared" si="45"/>
        <v>-2.6655258212158084E-2</v>
      </c>
      <c r="T141">
        <f t="shared" si="32"/>
        <v>0.84713783049332059</v>
      </c>
      <c r="U141">
        <f t="shared" si="33"/>
        <v>0.15286216950667958</v>
      </c>
      <c r="V141">
        <f t="shared" si="38"/>
        <v>-2.6655258212157956E-2</v>
      </c>
      <c r="W141">
        <f t="shared" si="39"/>
        <v>1.2836953722228372E-16</v>
      </c>
      <c r="Y141">
        <f t="shared" si="40"/>
        <v>-3.0432684117816081E-2</v>
      </c>
      <c r="Z141">
        <f t="shared" si="41"/>
        <v>-7.8730578516200099E-3</v>
      </c>
      <c r="AA141">
        <f t="shared" si="42"/>
        <v>-2.7016951441703792E-2</v>
      </c>
    </row>
    <row r="142" spans="1:27" x14ac:dyDescent="0.3">
      <c r="A142" s="1">
        <v>44029</v>
      </c>
      <c r="B142">
        <v>247.16999799999999</v>
      </c>
      <c r="C142">
        <v>246.53999300000001</v>
      </c>
      <c r="D142">
        <v>246.53999300000001</v>
      </c>
      <c r="E142">
        <f t="shared" si="43"/>
        <v>0.99195300532578679</v>
      </c>
      <c r="F142">
        <f t="shared" si="34"/>
        <v>3.5834299745597389</v>
      </c>
      <c r="G142">
        <f t="shared" si="35"/>
        <v>-8.0469946742132148E-3</v>
      </c>
      <c r="I142">
        <v>44.330002</v>
      </c>
      <c r="J142">
        <v>43.52</v>
      </c>
      <c r="K142">
        <v>40.388382</v>
      </c>
      <c r="L142">
        <f t="shared" si="44"/>
        <v>0.98283641892818752</v>
      </c>
      <c r="M142">
        <f t="shared" si="36"/>
        <v>0.64067091447939861</v>
      </c>
      <c r="N142">
        <f t="shared" si="37"/>
        <v>-1.7163581071812484E-2</v>
      </c>
      <c r="P142">
        <f t="shared" si="31"/>
        <v>4.2241008890391374</v>
      </c>
      <c r="Q142">
        <f t="shared" si="45"/>
        <v>-9.440575849445243E-3</v>
      </c>
      <c r="T142">
        <f t="shared" si="32"/>
        <v>0.84832963716803345</v>
      </c>
      <c r="U142">
        <f t="shared" si="33"/>
        <v>0.15167036283196658</v>
      </c>
      <c r="V142">
        <f t="shared" si="38"/>
        <v>-9.4405758494453245E-3</v>
      </c>
      <c r="W142">
        <f t="shared" si="39"/>
        <v>8.1532003370909933E-17</v>
      </c>
      <c r="Y142">
        <f t="shared" si="40"/>
        <v>-8.0795464829530837E-3</v>
      </c>
      <c r="Z142">
        <f t="shared" si="41"/>
        <v>-1.7312582725193502E-2</v>
      </c>
      <c r="AA142">
        <f t="shared" si="42"/>
        <v>-9.4854205486530896E-3</v>
      </c>
    </row>
    <row r="143" spans="1:27" x14ac:dyDescent="0.3">
      <c r="A143" s="1">
        <v>44032</v>
      </c>
      <c r="B143">
        <v>246.48699999999999</v>
      </c>
      <c r="C143">
        <v>268.57998700000002</v>
      </c>
      <c r="D143">
        <v>268.57998700000002</v>
      </c>
      <c r="E143">
        <f t="shared" si="43"/>
        <v>1.0893972362528623</v>
      </c>
      <c r="F143">
        <f t="shared" si="34"/>
        <v>3.9037787105910442</v>
      </c>
      <c r="G143">
        <f t="shared" si="35"/>
        <v>8.9397236252862333E-2</v>
      </c>
      <c r="I143">
        <v>43.209999000000003</v>
      </c>
      <c r="J143">
        <v>42.5</v>
      </c>
      <c r="K143">
        <v>39.441780000000001</v>
      </c>
      <c r="L143">
        <f t="shared" si="44"/>
        <v>0.97656251740909061</v>
      </c>
      <c r="M143">
        <f t="shared" si="36"/>
        <v>0.62565520107478567</v>
      </c>
      <c r="N143">
        <f t="shared" si="37"/>
        <v>-2.3437482590909386E-2</v>
      </c>
      <c r="P143">
        <f t="shared" si="31"/>
        <v>4.52943391166583</v>
      </c>
      <c r="Q143">
        <f t="shared" si="45"/>
        <v>7.2283553505784637E-2</v>
      </c>
      <c r="T143">
        <f t="shared" si="32"/>
        <v>0.86186900763396213</v>
      </c>
      <c r="U143">
        <f t="shared" si="33"/>
        <v>0.13813099236603785</v>
      </c>
      <c r="V143">
        <f t="shared" si="38"/>
        <v>7.228355350578454E-2</v>
      </c>
      <c r="W143">
        <f t="shared" si="39"/>
        <v>9.7144514654701197E-17</v>
      </c>
      <c r="Y143">
        <f t="shared" si="40"/>
        <v>8.5624549019903157E-2</v>
      </c>
      <c r="Z143">
        <f t="shared" si="41"/>
        <v>-2.3716508790407414E-2</v>
      </c>
      <c r="AA143">
        <f t="shared" si="42"/>
        <v>6.9790536539643774E-2</v>
      </c>
    </row>
    <row r="144" spans="1:27" x14ac:dyDescent="0.3">
      <c r="A144" s="1">
        <v>44033</v>
      </c>
      <c r="B144">
        <v>268.75</v>
      </c>
      <c r="C144">
        <v>260.44000199999999</v>
      </c>
      <c r="D144">
        <v>260.44000199999999</v>
      </c>
      <c r="E144">
        <f t="shared" si="43"/>
        <v>0.96969251100604148</v>
      </c>
      <c r="F144">
        <f t="shared" si="34"/>
        <v>3.7854649802849565</v>
      </c>
      <c r="G144">
        <f t="shared" si="35"/>
        <v>-3.030748899395852E-2</v>
      </c>
      <c r="I144">
        <v>43.150002000000001</v>
      </c>
      <c r="J144">
        <v>44.650002000000001</v>
      </c>
      <c r="K144">
        <v>41.437072999999998</v>
      </c>
      <c r="L144">
        <f t="shared" si="44"/>
        <v>1.0505883101624722</v>
      </c>
      <c r="M144">
        <f t="shared" si="36"/>
        <v>0.65730604044152086</v>
      </c>
      <c r="N144">
        <f t="shared" si="37"/>
        <v>5.0588310162472228E-2</v>
      </c>
      <c r="P144">
        <f t="shared" si="31"/>
        <v>4.442771020726477</v>
      </c>
      <c r="Q144">
        <f t="shared" si="45"/>
        <v>-1.9133271978237221E-2</v>
      </c>
      <c r="T144">
        <f t="shared" si="32"/>
        <v>0.85205043488060783</v>
      </c>
      <c r="U144">
        <f t="shared" si="33"/>
        <v>0.14794956511939228</v>
      </c>
      <c r="V144">
        <f t="shared" si="38"/>
        <v>-1.9133271978237054E-2</v>
      </c>
      <c r="W144">
        <f t="shared" si="39"/>
        <v>1.6653345369377348E-16</v>
      </c>
      <c r="Y144">
        <f t="shared" si="40"/>
        <v>-3.0776256702344362E-2</v>
      </c>
      <c r="Z144">
        <f t="shared" si="41"/>
        <v>4.9350302655405805E-2</v>
      </c>
      <c r="AA144">
        <f t="shared" si="42"/>
        <v>-1.9318681834479177E-2</v>
      </c>
    </row>
    <row r="145" spans="1:27" x14ac:dyDescent="0.3">
      <c r="A145" s="1">
        <v>44034</v>
      </c>
      <c r="B145">
        <v>261.95001200000002</v>
      </c>
      <c r="C145">
        <v>261.17999300000002</v>
      </c>
      <c r="D145">
        <v>261.17999300000002</v>
      </c>
      <c r="E145">
        <f t="shared" si="43"/>
        <v>1.0028413108367278</v>
      </c>
      <c r="F145">
        <f t="shared" si="34"/>
        <v>3.7962206629554935</v>
      </c>
      <c r="G145">
        <f t="shared" si="35"/>
        <v>2.841310836727784E-3</v>
      </c>
      <c r="I145">
        <v>44.150002000000001</v>
      </c>
      <c r="J145">
        <v>43.610000999999997</v>
      </c>
      <c r="K145">
        <v>40.471908999999997</v>
      </c>
      <c r="L145">
        <f t="shared" si="44"/>
        <v>0.97670771774830711</v>
      </c>
      <c r="M145">
        <f t="shared" si="36"/>
        <v>0.64199588262181428</v>
      </c>
      <c r="N145">
        <f t="shared" si="37"/>
        <v>-2.3292282251692886E-2</v>
      </c>
      <c r="P145">
        <f t="shared" si="31"/>
        <v>4.4382165455773075</v>
      </c>
      <c r="Q145">
        <f t="shared" si="45"/>
        <v>-1.0251428957112063E-3</v>
      </c>
      <c r="T145">
        <f t="shared" si="32"/>
        <v>0.85534822917517073</v>
      </c>
      <c r="U145">
        <f t="shared" si="33"/>
        <v>0.1446517708248293</v>
      </c>
      <c r="V145">
        <f t="shared" si="38"/>
        <v>-1.0251428957112098E-3</v>
      </c>
      <c r="W145">
        <f t="shared" si="39"/>
        <v>3.4694469519536142E-18</v>
      </c>
      <c r="Y145">
        <f t="shared" si="40"/>
        <v>2.8372819428479881E-3</v>
      </c>
      <c r="Z145">
        <f t="shared" si="41"/>
        <v>-2.3567834698240888E-2</v>
      </c>
      <c r="AA145">
        <f t="shared" si="42"/>
        <v>-1.0256687140795461E-3</v>
      </c>
    </row>
    <row r="146" spans="1:27" x14ac:dyDescent="0.3">
      <c r="A146" s="1">
        <v>44035</v>
      </c>
      <c r="B146">
        <v>260.83999599999999</v>
      </c>
      <c r="C146">
        <v>251.5</v>
      </c>
      <c r="D146">
        <v>251.5</v>
      </c>
      <c r="E146">
        <f t="shared" si="43"/>
        <v>0.96293746359048249</v>
      </c>
      <c r="F146">
        <f t="shared" si="34"/>
        <v>3.6555230964161427</v>
      </c>
      <c r="G146">
        <f t="shared" si="35"/>
        <v>-3.706253640951751E-2</v>
      </c>
      <c r="I146">
        <v>43.400002000000001</v>
      </c>
      <c r="J146">
        <v>43.700001</v>
      </c>
      <c r="K146">
        <v>40.555430999999999</v>
      </c>
      <c r="L146">
        <f t="shared" si="44"/>
        <v>1.0020637029995298</v>
      </c>
      <c r="M146">
        <f t="shared" si="36"/>
        <v>0.64332077145046673</v>
      </c>
      <c r="N146">
        <f t="shared" si="37"/>
        <v>2.0637029995298484E-3</v>
      </c>
      <c r="P146">
        <f t="shared" si="31"/>
        <v>4.2988438678666094</v>
      </c>
      <c r="Q146">
        <f t="shared" si="45"/>
        <v>-3.1402856593282569E-2</v>
      </c>
      <c r="T146">
        <f t="shared" si="32"/>
        <v>0.8503502822563016</v>
      </c>
      <c r="U146">
        <f t="shared" si="33"/>
        <v>0.1496497177436984</v>
      </c>
      <c r="V146">
        <f t="shared" si="38"/>
        <v>-3.140285659328259E-2</v>
      </c>
      <c r="W146">
        <f t="shared" si="39"/>
        <v>2.0816681711721685E-17</v>
      </c>
      <c r="Y146">
        <f t="shared" si="40"/>
        <v>-3.7766808451027409E-2</v>
      </c>
      <c r="Z146">
        <f t="shared" si="41"/>
        <v>2.0615764896486735E-3</v>
      </c>
      <c r="AA146">
        <f t="shared" si="42"/>
        <v>-3.190649821546019E-2</v>
      </c>
    </row>
    <row r="147" spans="1:27" x14ac:dyDescent="0.3">
      <c r="A147" s="1">
        <v>44036</v>
      </c>
      <c r="B147">
        <v>246.199997</v>
      </c>
      <c r="C147">
        <v>246.55999800000001</v>
      </c>
      <c r="D147">
        <v>246.55999800000001</v>
      </c>
      <c r="E147">
        <f t="shared" si="43"/>
        <v>0.98035784493041755</v>
      </c>
      <c r="F147">
        <f t="shared" si="34"/>
        <v>3.5837207448958965</v>
      </c>
      <c r="G147">
        <f t="shared" si="35"/>
        <v>-1.9642155069582445E-2</v>
      </c>
      <c r="I147">
        <v>43.880001</v>
      </c>
      <c r="J147">
        <v>43.43</v>
      </c>
      <c r="K147">
        <v>40.304862999999997</v>
      </c>
      <c r="L147">
        <f t="shared" si="44"/>
        <v>0.99382159198357423</v>
      </c>
      <c r="M147">
        <f t="shared" si="36"/>
        <v>0.63934607323900394</v>
      </c>
      <c r="N147">
        <f t="shared" si="37"/>
        <v>-6.1784080164257738E-3</v>
      </c>
      <c r="P147">
        <f t="shared" si="31"/>
        <v>4.2230668181349005</v>
      </c>
      <c r="Q147">
        <f t="shared" si="45"/>
        <v>-1.7627309123305013E-2</v>
      </c>
      <c r="T147">
        <f t="shared" si="32"/>
        <v>0.84860621421060811</v>
      </c>
      <c r="U147">
        <f t="shared" si="33"/>
        <v>0.15139378578939189</v>
      </c>
      <c r="V147">
        <f t="shared" si="38"/>
        <v>-1.7627309123304999E-2</v>
      </c>
      <c r="W147">
        <f t="shared" si="39"/>
        <v>1.3877787807814457E-17</v>
      </c>
      <c r="Y147">
        <f t="shared" si="40"/>
        <v>-1.9837626079604084E-2</v>
      </c>
      <c r="Z147">
        <f t="shared" si="41"/>
        <v>-6.1975733608916261E-3</v>
      </c>
      <c r="AA147">
        <f t="shared" si="42"/>
        <v>-1.7784520350340741E-2</v>
      </c>
    </row>
    <row r="148" spans="1:27" x14ac:dyDescent="0.3">
      <c r="A148" s="1">
        <v>44039</v>
      </c>
      <c r="B148">
        <v>249.279999</v>
      </c>
      <c r="C148">
        <v>252.33000200000001</v>
      </c>
      <c r="D148">
        <v>252.33000200000001</v>
      </c>
      <c r="E148">
        <f t="shared" si="43"/>
        <v>1.0234020280937868</v>
      </c>
      <c r="F148">
        <f t="shared" si="34"/>
        <v>3.6675870784482369</v>
      </c>
      <c r="G148">
        <f t="shared" si="35"/>
        <v>2.3402028093786775E-2</v>
      </c>
      <c r="I148">
        <v>43.23</v>
      </c>
      <c r="J148">
        <v>44.07</v>
      </c>
      <c r="K148">
        <v>40.898808000000002</v>
      </c>
      <c r="L148">
        <f t="shared" si="44"/>
        <v>1.0147363110997303</v>
      </c>
      <c r="M148">
        <f t="shared" si="36"/>
        <v>0.6487676758746449</v>
      </c>
      <c r="N148">
        <f t="shared" si="37"/>
        <v>1.4736311099730282E-2</v>
      </c>
      <c r="P148">
        <f t="shared" si="31"/>
        <v>4.316354754322882</v>
      </c>
      <c r="Q148">
        <f t="shared" si="45"/>
        <v>2.2090092391477079E-2</v>
      </c>
      <c r="T148">
        <f t="shared" si="32"/>
        <v>0.84969546925564998</v>
      </c>
      <c r="U148">
        <f t="shared" si="33"/>
        <v>0.15030453074434999</v>
      </c>
      <c r="V148">
        <f t="shared" si="38"/>
        <v>2.2090092391477096E-2</v>
      </c>
      <c r="W148">
        <f t="shared" si="39"/>
        <v>1.7347234759768071E-17</v>
      </c>
      <c r="Y148">
        <f t="shared" si="40"/>
        <v>2.3132399108394364E-2</v>
      </c>
      <c r="Z148">
        <f t="shared" si="41"/>
        <v>1.4628786721987912E-2</v>
      </c>
      <c r="AA148">
        <f t="shared" si="42"/>
        <v>2.1849640921191769E-2</v>
      </c>
    </row>
    <row r="149" spans="1:27" x14ac:dyDescent="0.3">
      <c r="A149" s="1">
        <v>44040</v>
      </c>
      <c r="B149">
        <v>252.699997</v>
      </c>
      <c r="C149">
        <v>252.179993</v>
      </c>
      <c r="D149">
        <v>252.179993</v>
      </c>
      <c r="E149">
        <f t="shared" si="43"/>
        <v>0.99940550470094314</v>
      </c>
      <c r="F149">
        <f t="shared" si="34"/>
        <v>3.6654067151712177</v>
      </c>
      <c r="G149">
        <f t="shared" si="35"/>
        <v>-5.9449529905686305E-4</v>
      </c>
      <c r="I149">
        <v>43.91</v>
      </c>
      <c r="J149">
        <v>43.549999</v>
      </c>
      <c r="K149">
        <v>40.416224999999997</v>
      </c>
      <c r="L149">
        <f t="shared" si="44"/>
        <v>0.98820056075961904</v>
      </c>
      <c r="M149">
        <f t="shared" si="36"/>
        <v>0.64111258110203884</v>
      </c>
      <c r="N149">
        <f t="shared" si="37"/>
        <v>-1.179943924038096E-2</v>
      </c>
      <c r="P149">
        <f t="shared" si="31"/>
        <v>4.3065192962732564</v>
      </c>
      <c r="Q149">
        <f t="shared" si="45"/>
        <v>-2.2786491401743936E-3</v>
      </c>
      <c r="T149">
        <f t="shared" si="32"/>
        <v>0.85112975537881841</v>
      </c>
      <c r="U149">
        <f t="shared" si="33"/>
        <v>0.14887024462118167</v>
      </c>
      <c r="V149">
        <f t="shared" si="38"/>
        <v>-2.278649140174329E-3</v>
      </c>
      <c r="W149">
        <f t="shared" si="39"/>
        <v>6.4618449480136064E-17</v>
      </c>
      <c r="Y149">
        <f t="shared" si="40"/>
        <v>-5.9467208145483862E-4</v>
      </c>
      <c r="Z149">
        <f t="shared" si="41"/>
        <v>-1.1869605115053354E-2</v>
      </c>
      <c r="AA149">
        <f t="shared" si="42"/>
        <v>-2.2812492116444059E-3</v>
      </c>
    </row>
    <row r="150" spans="1:27" x14ac:dyDescent="0.3">
      <c r="A150" s="1">
        <v>44041</v>
      </c>
      <c r="B150">
        <v>255.550003</v>
      </c>
      <c r="C150">
        <v>252.38999899999999</v>
      </c>
      <c r="D150">
        <v>252.38999899999999</v>
      </c>
      <c r="E150">
        <f t="shared" si="43"/>
        <v>1.0008327623357496</v>
      </c>
      <c r="F150">
        <f t="shared" si="34"/>
        <v>3.6684591278288159</v>
      </c>
      <c r="G150">
        <f t="shared" si="35"/>
        <v>8.3276233574958169E-4</v>
      </c>
      <c r="I150">
        <v>43.709999000000003</v>
      </c>
      <c r="J150">
        <v>44.029998999999997</v>
      </c>
      <c r="K150">
        <v>40.861682999999999</v>
      </c>
      <c r="L150">
        <f t="shared" si="44"/>
        <v>1.011021761681107</v>
      </c>
      <c r="M150">
        <f t="shared" si="36"/>
        <v>0.64817877118170486</v>
      </c>
      <c r="N150">
        <f t="shared" si="37"/>
        <v>1.1021761681107023E-2</v>
      </c>
      <c r="P150">
        <f t="shared" si="31"/>
        <v>4.3166378990105212</v>
      </c>
      <c r="Q150">
        <f t="shared" si="45"/>
        <v>2.349601160738235E-3</v>
      </c>
      <c r="T150">
        <f t="shared" si="32"/>
        <v>0.84984175500792325</v>
      </c>
      <c r="U150">
        <f t="shared" si="33"/>
        <v>0.15015824499207664</v>
      </c>
      <c r="V150">
        <f t="shared" si="38"/>
        <v>2.3496011607380038E-3</v>
      </c>
      <c r="W150">
        <f t="shared" si="39"/>
        <v>2.3115190317390955E-16</v>
      </c>
      <c r="Y150">
        <f t="shared" si="40"/>
        <v>8.3241578158048716E-4</v>
      </c>
      <c r="Z150">
        <f t="shared" si="41"/>
        <v>1.0961464713805482E-2</v>
      </c>
      <c r="AA150">
        <f t="shared" si="42"/>
        <v>2.346845164082048E-3</v>
      </c>
    </row>
    <row r="151" spans="1:27" x14ac:dyDescent="0.3">
      <c r="A151" s="1">
        <v>44042</v>
      </c>
      <c r="B151">
        <v>250.31399500000001</v>
      </c>
      <c r="C151">
        <v>250</v>
      </c>
      <c r="D151">
        <v>250</v>
      </c>
      <c r="E151">
        <f t="shared" si="43"/>
        <v>0.99053053207548059</v>
      </c>
      <c r="F151">
        <f t="shared" si="34"/>
        <v>3.6337207717854305</v>
      </c>
      <c r="G151">
        <f t="shared" si="35"/>
        <v>-9.4694679245194147E-3</v>
      </c>
      <c r="I151">
        <v>43.130001</v>
      </c>
      <c r="J151">
        <v>41.869999</v>
      </c>
      <c r="K151">
        <v>38.857112999999998</v>
      </c>
      <c r="L151">
        <f t="shared" si="44"/>
        <v>0.95094254928266164</v>
      </c>
      <c r="M151">
        <f t="shared" si="36"/>
        <v>0.61638077305843342</v>
      </c>
      <c r="N151">
        <f t="shared" si="37"/>
        <v>-4.9057450717338358E-2</v>
      </c>
      <c r="P151">
        <f t="shared" si="31"/>
        <v>4.2501015448438642</v>
      </c>
      <c r="Q151">
        <f t="shared" si="45"/>
        <v>-1.5413929943465687E-2</v>
      </c>
      <c r="T151">
        <f t="shared" si="32"/>
        <v>0.85497269499214334</v>
      </c>
      <c r="U151">
        <f t="shared" si="33"/>
        <v>0.14502730500785654</v>
      </c>
      <c r="V151">
        <f t="shared" si="38"/>
        <v>-1.5413929943465635E-2</v>
      </c>
      <c r="W151">
        <f t="shared" si="39"/>
        <v>5.2041704279304213E-17</v>
      </c>
      <c r="Y151">
        <f t="shared" si="40"/>
        <v>-9.5145884064633014E-3</v>
      </c>
      <c r="Z151">
        <f t="shared" si="41"/>
        <v>-5.0301629110491804E-2</v>
      </c>
      <c r="AA151">
        <f t="shared" si="42"/>
        <v>-1.5533959578010211E-2</v>
      </c>
    </row>
    <row r="152" spans="1:27" x14ac:dyDescent="0.3">
      <c r="A152" s="1">
        <v>44043</v>
      </c>
      <c r="B152">
        <v>253.5</v>
      </c>
      <c r="C152">
        <v>253.91000399999999</v>
      </c>
      <c r="D152">
        <v>253.91000399999999</v>
      </c>
      <c r="E152">
        <f t="shared" si="43"/>
        <v>1.0156400159999999</v>
      </c>
      <c r="F152">
        <f t="shared" si="34"/>
        <v>3.6905522227956866</v>
      </c>
      <c r="G152">
        <f t="shared" si="35"/>
        <v>1.5640015999999868E-2</v>
      </c>
      <c r="I152">
        <v>41.16</v>
      </c>
      <c r="J152">
        <v>42.080002</v>
      </c>
      <c r="K152">
        <v>39.052005999999999</v>
      </c>
      <c r="L152">
        <f t="shared" si="44"/>
        <v>1.0050156325303941</v>
      </c>
      <c r="M152">
        <f t="shared" si="36"/>
        <v>0.61947231251489476</v>
      </c>
      <c r="N152">
        <f t="shared" si="37"/>
        <v>5.0156325303940541E-3</v>
      </c>
      <c r="P152">
        <f t="shared" si="31"/>
        <v>4.3100245353105811</v>
      </c>
      <c r="Q152">
        <f t="shared" si="45"/>
        <v>1.4099190298032749E-2</v>
      </c>
      <c r="T152">
        <f t="shared" si="32"/>
        <v>0.85627174336485412</v>
      </c>
      <c r="U152">
        <f t="shared" si="33"/>
        <v>0.14372825663514593</v>
      </c>
      <c r="V152">
        <f t="shared" si="38"/>
        <v>1.4099190298032915E-2</v>
      </c>
      <c r="W152">
        <f t="shared" si="39"/>
        <v>1.6653345369377348E-16</v>
      </c>
      <c r="Y152">
        <f t="shared" si="40"/>
        <v>1.5518971411283701E-2</v>
      </c>
      <c r="Z152">
        <f t="shared" si="41"/>
        <v>5.0030961466761004E-3</v>
      </c>
      <c r="AA152">
        <f t="shared" si="42"/>
        <v>1.4000721191586707E-2</v>
      </c>
    </row>
    <row r="153" spans="1:27" x14ac:dyDescent="0.3">
      <c r="A153" s="1">
        <v>44046</v>
      </c>
      <c r="B153">
        <v>256.82998700000002</v>
      </c>
      <c r="C153">
        <v>268</v>
      </c>
      <c r="D153">
        <v>268</v>
      </c>
      <c r="E153">
        <f t="shared" si="43"/>
        <v>1.0554920868734263</v>
      </c>
      <c r="F153">
        <f t="shared" si="34"/>
        <v>3.8953486673539817</v>
      </c>
      <c r="G153">
        <f t="shared" si="35"/>
        <v>5.5492086873426327E-2</v>
      </c>
      <c r="I153">
        <v>42.049999</v>
      </c>
      <c r="J153">
        <v>42.25</v>
      </c>
      <c r="K153">
        <v>39.209769999999999</v>
      </c>
      <c r="L153">
        <f t="shared" si="44"/>
        <v>1.0040398436894638</v>
      </c>
      <c r="M153">
        <f t="shared" si="36"/>
        <v>0.62197488382740562</v>
      </c>
      <c r="N153">
        <f t="shared" si="37"/>
        <v>4.0398436894637513E-3</v>
      </c>
      <c r="P153">
        <f t="shared" si="31"/>
        <v>4.517323551181387</v>
      </c>
      <c r="Q153">
        <f t="shared" si="45"/>
        <v>4.8096945660627943E-2</v>
      </c>
      <c r="T153">
        <f t="shared" si="32"/>
        <v>0.8623134081983691</v>
      </c>
      <c r="U153">
        <f t="shared" si="33"/>
        <v>0.13768659180163095</v>
      </c>
      <c r="V153">
        <f t="shared" si="38"/>
        <v>4.8096945660627818E-2</v>
      </c>
      <c r="W153">
        <f t="shared" si="39"/>
        <v>1.2490009027033011E-16</v>
      </c>
      <c r="Y153">
        <f t="shared" si="40"/>
        <v>5.4007091237326513E-2</v>
      </c>
      <c r="Z153">
        <f t="shared" si="41"/>
        <v>4.0317054317757619E-3</v>
      </c>
      <c r="AA153">
        <f t="shared" si="42"/>
        <v>4.6976087021852166E-2</v>
      </c>
    </row>
    <row r="154" spans="1:27" x14ac:dyDescent="0.3">
      <c r="A154" s="1">
        <v>44047</v>
      </c>
      <c r="B154">
        <v>268</v>
      </c>
      <c r="C154">
        <v>267.33999599999999</v>
      </c>
      <c r="D154">
        <v>267.33999599999999</v>
      </c>
      <c r="E154">
        <f t="shared" si="43"/>
        <v>0.99753729850746264</v>
      </c>
      <c r="F154">
        <f t="shared" si="34"/>
        <v>3.8857555863769355</v>
      </c>
      <c r="G154">
        <f t="shared" si="35"/>
        <v>-2.4627014925373558E-3</v>
      </c>
      <c r="I154">
        <v>42.34</v>
      </c>
      <c r="J154">
        <v>43.470001000000003</v>
      </c>
      <c r="K154">
        <v>40.341983999999997</v>
      </c>
      <c r="L154">
        <f t="shared" si="44"/>
        <v>1.028875813349581</v>
      </c>
      <c r="M154">
        <f t="shared" si="36"/>
        <v>0.63993491448093309</v>
      </c>
      <c r="N154">
        <f t="shared" si="37"/>
        <v>2.8875813349581003E-2</v>
      </c>
      <c r="P154">
        <f t="shared" si="31"/>
        <v>4.5256905008578689</v>
      </c>
      <c r="Q154">
        <f t="shared" si="45"/>
        <v>1.8521918081988442E-3</v>
      </c>
      <c r="T154">
        <f t="shared" si="32"/>
        <v>0.8585994967266033</v>
      </c>
      <c r="U154">
        <f t="shared" si="33"/>
        <v>0.14140050327339662</v>
      </c>
      <c r="V154">
        <f t="shared" si="38"/>
        <v>1.8521918081987479E-3</v>
      </c>
      <c r="W154">
        <f t="shared" si="39"/>
        <v>9.6277152916712794E-17</v>
      </c>
      <c r="Y154">
        <f t="shared" si="40"/>
        <v>-2.4657389297502441E-3</v>
      </c>
      <c r="Z154">
        <f t="shared" si="41"/>
        <v>2.8466762833581474E-2</v>
      </c>
      <c r="AA154">
        <f t="shared" si="42"/>
        <v>1.8504786160657601E-3</v>
      </c>
    </row>
    <row r="155" spans="1:27" x14ac:dyDescent="0.3">
      <c r="A155" s="1">
        <v>44048</v>
      </c>
      <c r="B155">
        <v>266.290009</v>
      </c>
      <c r="C155">
        <v>272.89999399999999</v>
      </c>
      <c r="D155">
        <v>272.89999399999999</v>
      </c>
      <c r="E155">
        <f t="shared" si="43"/>
        <v>1.0207974791770402</v>
      </c>
      <c r="F155">
        <f t="shared" si="34"/>
        <v>3.9665695072716773</v>
      </c>
      <c r="G155">
        <f t="shared" si="35"/>
        <v>2.0797479177040223E-2</v>
      </c>
      <c r="I155">
        <v>44.150002000000001</v>
      </c>
      <c r="J155">
        <v>43.849997999999999</v>
      </c>
      <c r="K155">
        <v>40.694637</v>
      </c>
      <c r="L155">
        <f t="shared" si="44"/>
        <v>1.00874158791992</v>
      </c>
      <c r="M155">
        <f t="shared" si="36"/>
        <v>0.64552896179889463</v>
      </c>
      <c r="N155">
        <f t="shared" si="37"/>
        <v>8.7415879199199686E-3</v>
      </c>
      <c r="P155">
        <f t="shared" si="31"/>
        <v>4.6120984690705722</v>
      </c>
      <c r="Q155">
        <f t="shared" si="45"/>
        <v>1.9092770085874067E-2</v>
      </c>
      <c r="T155">
        <f t="shared" si="32"/>
        <v>0.86003573728360105</v>
      </c>
      <c r="U155">
        <f t="shared" si="33"/>
        <v>0.13996426271639889</v>
      </c>
      <c r="V155">
        <f t="shared" si="38"/>
        <v>1.9092770085874077E-2</v>
      </c>
      <c r="W155">
        <f t="shared" si="39"/>
        <v>1.0408340855860843E-17</v>
      </c>
      <c r="Y155">
        <f t="shared" si="40"/>
        <v>2.0584164147110645E-2</v>
      </c>
      <c r="Z155">
        <f t="shared" si="41"/>
        <v>8.7036014544082489E-3</v>
      </c>
      <c r="AA155">
        <f t="shared" si="42"/>
        <v>1.8912790416467262E-2</v>
      </c>
    </row>
    <row r="156" spans="1:27" x14ac:dyDescent="0.3">
      <c r="A156" s="1">
        <v>44049</v>
      </c>
      <c r="B156">
        <v>273.86999500000002</v>
      </c>
      <c r="C156">
        <v>268.25</v>
      </c>
      <c r="D156">
        <v>268.25</v>
      </c>
      <c r="E156">
        <f t="shared" si="43"/>
        <v>0.98296081311016814</v>
      </c>
      <c r="F156">
        <f t="shared" si="34"/>
        <v>3.8989823881257668</v>
      </c>
      <c r="G156">
        <f t="shared" si="35"/>
        <v>-1.7039186889831859E-2</v>
      </c>
      <c r="I156">
        <v>43.400002000000001</v>
      </c>
      <c r="J156">
        <v>43.639999000000003</v>
      </c>
      <c r="K156">
        <v>40.499747999999997</v>
      </c>
      <c r="L156">
        <f t="shared" si="44"/>
        <v>0.99521094143191391</v>
      </c>
      <c r="M156">
        <f t="shared" si="36"/>
        <v>0.64243748579344395</v>
      </c>
      <c r="N156">
        <f t="shared" si="37"/>
        <v>-4.7890585680860909E-3</v>
      </c>
      <c r="P156">
        <f t="shared" si="31"/>
        <v>4.5414198739192111</v>
      </c>
      <c r="Q156">
        <f t="shared" si="45"/>
        <v>-1.5324606711097477E-2</v>
      </c>
      <c r="T156">
        <f t="shared" si="32"/>
        <v>0.85853818769700641</v>
      </c>
      <c r="U156">
        <f t="shared" si="33"/>
        <v>0.14146181230299351</v>
      </c>
      <c r="V156">
        <f t="shared" si="38"/>
        <v>-1.5324606711097435E-2</v>
      </c>
      <c r="W156">
        <f t="shared" si="39"/>
        <v>4.163336342344337E-17</v>
      </c>
      <c r="Y156">
        <f t="shared" si="40"/>
        <v>-1.7186024217409182E-2</v>
      </c>
      <c r="Z156">
        <f t="shared" si="41"/>
        <v>-4.8005628535643151E-3</v>
      </c>
      <c r="AA156">
        <f t="shared" si="42"/>
        <v>-1.5443242084074466E-2</v>
      </c>
    </row>
    <row r="157" spans="1:27" x14ac:dyDescent="0.3">
      <c r="A157" s="1">
        <v>44050</v>
      </c>
      <c r="B157">
        <v>266.45001200000002</v>
      </c>
      <c r="C157">
        <v>258.73001099999999</v>
      </c>
      <c r="D157">
        <v>258.73001099999999</v>
      </c>
      <c r="E157">
        <f t="shared" si="43"/>
        <v>0.96451075862068958</v>
      </c>
      <c r="F157">
        <f t="shared" si="34"/>
        <v>3.7606104610198914</v>
      </c>
      <c r="G157">
        <f t="shared" si="35"/>
        <v>-3.5489241379310421E-2</v>
      </c>
      <c r="I157">
        <v>43.23</v>
      </c>
      <c r="J157">
        <v>43.439999</v>
      </c>
      <c r="K157">
        <v>40.314137000000002</v>
      </c>
      <c r="L157">
        <f t="shared" si="44"/>
        <v>0.99541698382913413</v>
      </c>
      <c r="M157">
        <f t="shared" si="36"/>
        <v>0.6394931844072822</v>
      </c>
      <c r="N157">
        <f t="shared" si="37"/>
        <v>-4.5830161708658723E-3</v>
      </c>
      <c r="P157">
        <f t="shared" si="31"/>
        <v>4.4001036454271736</v>
      </c>
      <c r="Q157">
        <f t="shared" si="45"/>
        <v>-3.1117190749879398E-2</v>
      </c>
      <c r="T157">
        <f t="shared" si="32"/>
        <v>0.85466406340862489</v>
      </c>
      <c r="U157">
        <f t="shared" si="33"/>
        <v>0.14533593659137511</v>
      </c>
      <c r="V157">
        <f t="shared" si="38"/>
        <v>-3.1117190749879387E-2</v>
      </c>
      <c r="W157">
        <f t="shared" si="39"/>
        <v>1.0408340855860843E-17</v>
      </c>
      <c r="Y157">
        <f t="shared" si="40"/>
        <v>-3.613429208924502E-2</v>
      </c>
      <c r="Z157">
        <f t="shared" si="41"/>
        <v>-4.5935503874561523E-3</v>
      </c>
      <c r="AA157">
        <f t="shared" si="42"/>
        <v>-3.161161429154502E-2</v>
      </c>
    </row>
    <row r="158" spans="1:27" x14ac:dyDescent="0.3">
      <c r="A158" s="1">
        <v>44053</v>
      </c>
      <c r="B158">
        <v>259.14001500000001</v>
      </c>
      <c r="C158">
        <v>250</v>
      </c>
      <c r="D158">
        <v>250</v>
      </c>
      <c r="E158">
        <f t="shared" si="43"/>
        <v>0.96625822042731646</v>
      </c>
      <c r="F158">
        <f t="shared" si="34"/>
        <v>3.6337207717854305</v>
      </c>
      <c r="G158">
        <f t="shared" si="35"/>
        <v>-3.3741779572683539E-2</v>
      </c>
      <c r="I158">
        <v>43.990001999999997</v>
      </c>
      <c r="J158">
        <v>44.509998000000003</v>
      </c>
      <c r="K158">
        <v>41.307147999999998</v>
      </c>
      <c r="L158">
        <f t="shared" si="44"/>
        <v>1.0246318307644784</v>
      </c>
      <c r="M158">
        <f t="shared" si="36"/>
        <v>0.65524507230063977</v>
      </c>
      <c r="N158">
        <f t="shared" si="37"/>
        <v>2.4631830764478391E-2</v>
      </c>
      <c r="P158">
        <f t="shared" si="31"/>
        <v>4.2889658440860705</v>
      </c>
      <c r="Q158">
        <f t="shared" si="45"/>
        <v>-2.5257996242112002E-2</v>
      </c>
      <c r="T158">
        <f t="shared" si="32"/>
        <v>0.84722539275892383</v>
      </c>
      <c r="U158">
        <f t="shared" si="33"/>
        <v>0.15277460724107608</v>
      </c>
      <c r="V158">
        <f t="shared" si="38"/>
        <v>-2.5257996242112134E-2</v>
      </c>
      <c r="W158">
        <f t="shared" si="39"/>
        <v>1.3183898417423734E-16</v>
      </c>
      <c r="Y158">
        <f t="shared" si="40"/>
        <v>-3.4324171559316427E-2</v>
      </c>
      <c r="Z158">
        <f t="shared" si="41"/>
        <v>2.4333358568302519E-2</v>
      </c>
      <c r="AA158">
        <f t="shared" si="42"/>
        <v>-2.5582454530469357E-2</v>
      </c>
    </row>
    <row r="159" spans="1:27" x14ac:dyDescent="0.3">
      <c r="A159" s="1">
        <v>44054</v>
      </c>
      <c r="B159">
        <v>245.479996</v>
      </c>
      <c r="C159">
        <v>231.03999300000001</v>
      </c>
      <c r="D159">
        <v>231.03999300000001</v>
      </c>
      <c r="E159">
        <f t="shared" si="43"/>
        <v>0.924159972</v>
      </c>
      <c r="F159">
        <f t="shared" si="34"/>
        <v>3.3581392867090418</v>
      </c>
      <c r="G159">
        <f t="shared" si="35"/>
        <v>-7.5840028000000004E-2</v>
      </c>
      <c r="I159">
        <v>45.5</v>
      </c>
      <c r="J159">
        <v>44.970001000000003</v>
      </c>
      <c r="K159">
        <v>41.734046999999997</v>
      </c>
      <c r="L159">
        <f t="shared" si="44"/>
        <v>1.0103347488429848</v>
      </c>
      <c r="M159">
        <f t="shared" si="36"/>
        <v>0.66201686555347028</v>
      </c>
      <c r="N159">
        <f t="shared" si="37"/>
        <v>1.0334748842984798E-2</v>
      </c>
      <c r="P159">
        <f t="shared" si="31"/>
        <v>4.020156152262512</v>
      </c>
      <c r="Q159">
        <f t="shared" si="45"/>
        <v>-6.2674710313725734E-2</v>
      </c>
      <c r="T159">
        <f t="shared" si="32"/>
        <v>0.83532558426097647</v>
      </c>
      <c r="U159">
        <f t="shared" si="33"/>
        <v>0.16467441573902358</v>
      </c>
      <c r="V159">
        <f t="shared" si="38"/>
        <v>-6.2674710313725623E-2</v>
      </c>
      <c r="W159">
        <f t="shared" si="39"/>
        <v>1.1102230246251565E-16</v>
      </c>
      <c r="Y159">
        <f t="shared" si="40"/>
        <v>-7.8870092455569418E-2</v>
      </c>
      <c r="Z159">
        <f t="shared" si="41"/>
        <v>1.0281710438892481E-2</v>
      </c>
      <c r="AA159">
        <f t="shared" si="42"/>
        <v>-6.4724896172293142E-2</v>
      </c>
    </row>
    <row r="160" spans="1:27" x14ac:dyDescent="0.3">
      <c r="A160" s="1">
        <v>44055</v>
      </c>
      <c r="B160">
        <v>232.300003</v>
      </c>
      <c r="C160">
        <v>236.720001</v>
      </c>
      <c r="D160">
        <v>236.720001</v>
      </c>
      <c r="E160">
        <f t="shared" si="43"/>
        <v>1.0245845229055213</v>
      </c>
      <c r="F160">
        <f t="shared" si="34"/>
        <v>3.4406975389230712</v>
      </c>
      <c r="G160">
        <f t="shared" si="35"/>
        <v>2.4584522905521267E-2</v>
      </c>
      <c r="I160">
        <v>44.459999000000003</v>
      </c>
      <c r="J160">
        <v>44.09</v>
      </c>
      <c r="K160">
        <v>41.724583000000003</v>
      </c>
      <c r="L160">
        <f t="shared" si="44"/>
        <v>0.99977323071496049</v>
      </c>
      <c r="M160">
        <f t="shared" si="36"/>
        <v>0.66186674046218463</v>
      </c>
      <c r="N160">
        <f t="shared" si="37"/>
        <v>-2.2676928503950755E-4</v>
      </c>
      <c r="P160">
        <f t="shared" si="31"/>
        <v>4.1025642793852555</v>
      </c>
      <c r="Q160">
        <f t="shared" si="45"/>
        <v>2.0498737860310534E-2</v>
      </c>
      <c r="T160">
        <f t="shared" si="32"/>
        <v>0.83866998896569123</v>
      </c>
      <c r="U160">
        <f t="shared" si="33"/>
        <v>0.16133001103430886</v>
      </c>
      <c r="V160">
        <f t="shared" si="38"/>
        <v>2.0498737860310472E-2</v>
      </c>
      <c r="W160">
        <f t="shared" si="39"/>
        <v>6.2450045135165055E-17</v>
      </c>
      <c r="Y160">
        <f t="shared" si="40"/>
        <v>2.4287186909677207E-2</v>
      </c>
      <c r="Z160">
        <f t="shared" si="41"/>
        <v>-2.267950010816387E-4</v>
      </c>
      <c r="AA160">
        <f t="shared" si="42"/>
        <v>2.0291466481412637E-2</v>
      </c>
    </row>
    <row r="161" spans="1:27" x14ac:dyDescent="0.3">
      <c r="A161" s="1">
        <v>44056</v>
      </c>
      <c r="B161">
        <v>238.14999399999999</v>
      </c>
      <c r="C161">
        <v>247.25</v>
      </c>
      <c r="D161">
        <v>247.25</v>
      </c>
      <c r="E161">
        <f t="shared" si="43"/>
        <v>1.0444829290111401</v>
      </c>
      <c r="F161">
        <f t="shared" si="34"/>
        <v>3.5937498432957908</v>
      </c>
      <c r="G161">
        <f t="shared" si="35"/>
        <v>4.4482929011140149E-2</v>
      </c>
      <c r="I161">
        <v>43.5</v>
      </c>
      <c r="J161">
        <v>43.009998000000003</v>
      </c>
      <c r="K161">
        <v>40.702522000000002</v>
      </c>
      <c r="L161">
        <f t="shared" si="44"/>
        <v>0.97550458443167665</v>
      </c>
      <c r="M161">
        <f t="shared" si="36"/>
        <v>0.64565403960371182</v>
      </c>
      <c r="N161">
        <f t="shared" si="37"/>
        <v>-2.4495415568323353E-2</v>
      </c>
      <c r="P161">
        <f t="shared" si="31"/>
        <v>4.2394038828995022</v>
      </c>
      <c r="Q161">
        <f t="shared" si="45"/>
        <v>3.3354651919006884E-2</v>
      </c>
      <c r="T161">
        <f t="shared" si="32"/>
        <v>0.84770169169111531</v>
      </c>
      <c r="U161">
        <f t="shared" si="33"/>
        <v>0.15229830830888483</v>
      </c>
      <c r="V161">
        <f t="shared" si="38"/>
        <v>3.3354651919006946E-2</v>
      </c>
      <c r="W161">
        <f t="shared" si="39"/>
        <v>6.2450045135165055E-17</v>
      </c>
      <c r="Y161">
        <f t="shared" si="40"/>
        <v>4.3521958186467258E-2</v>
      </c>
      <c r="Z161">
        <f t="shared" si="41"/>
        <v>-2.4800419358843782E-2</v>
      </c>
      <c r="AA161">
        <f t="shared" si="42"/>
        <v>3.2810453499538497E-2</v>
      </c>
    </row>
    <row r="162" spans="1:27" x14ac:dyDescent="0.3">
      <c r="A162" s="1">
        <v>44057</v>
      </c>
      <c r="B162">
        <v>249.44000199999999</v>
      </c>
      <c r="C162">
        <v>244.91000399999999</v>
      </c>
      <c r="D162">
        <v>244.91000399999999</v>
      </c>
      <c r="E162">
        <f t="shared" si="43"/>
        <v>0.99053591102123351</v>
      </c>
      <c r="F162">
        <f t="shared" si="34"/>
        <v>3.5597382750114113</v>
      </c>
      <c r="G162">
        <f t="shared" si="35"/>
        <v>-9.4640889787664939E-3</v>
      </c>
      <c r="I162">
        <v>42.599997999999999</v>
      </c>
      <c r="J162">
        <v>43.200001</v>
      </c>
      <c r="K162">
        <v>40.882328000000001</v>
      </c>
      <c r="L162">
        <f t="shared" si="44"/>
        <v>1.0044175641008191</v>
      </c>
      <c r="M162">
        <f t="shared" si="36"/>
        <v>0.64850625771061399</v>
      </c>
      <c r="N162">
        <f t="shared" si="37"/>
        <v>4.4175641008190603E-3</v>
      </c>
      <c r="P162">
        <f t="shared" si="31"/>
        <v>4.2082445327220253</v>
      </c>
      <c r="Q162">
        <f t="shared" si="45"/>
        <v>-7.3499366982147096E-3</v>
      </c>
      <c r="T162">
        <f t="shared" si="32"/>
        <v>0.8458962513542102</v>
      </c>
      <c r="U162">
        <f t="shared" si="33"/>
        <v>0.15410374864578977</v>
      </c>
      <c r="V162">
        <f t="shared" si="38"/>
        <v>-7.3499366982147946E-3</v>
      </c>
      <c r="W162">
        <f t="shared" si="39"/>
        <v>8.5001450322863548E-17</v>
      </c>
      <c r="Y162">
        <f t="shared" si="40"/>
        <v>-9.5091580527548961E-3</v>
      </c>
      <c r="Z162">
        <f t="shared" si="41"/>
        <v>4.4078353057211634E-3</v>
      </c>
      <c r="AA162">
        <f t="shared" si="42"/>
        <v>-7.3770805685527425E-3</v>
      </c>
    </row>
    <row r="163" spans="1:27" x14ac:dyDescent="0.3">
      <c r="A163" s="1">
        <v>44060</v>
      </c>
      <c r="B163">
        <v>248.699997</v>
      </c>
      <c r="C163">
        <v>266.14999399999999</v>
      </c>
      <c r="D163">
        <v>266.14999399999999</v>
      </c>
      <c r="E163">
        <f t="shared" si="43"/>
        <v>1.0867256937368717</v>
      </c>
      <c r="F163">
        <f t="shared" si="34"/>
        <v>3.8684590464334709</v>
      </c>
      <c r="G163">
        <f t="shared" si="35"/>
        <v>8.6725693736871667E-2</v>
      </c>
      <c r="I163">
        <v>43.169998</v>
      </c>
      <c r="J163">
        <v>42.639999000000003</v>
      </c>
      <c r="K163">
        <v>40.352370999999998</v>
      </c>
      <c r="L163">
        <f t="shared" si="44"/>
        <v>0.98703701511322928</v>
      </c>
      <c r="M163">
        <f t="shared" si="36"/>
        <v>0.64009968089293501</v>
      </c>
      <c r="N163">
        <f t="shared" si="37"/>
        <v>-1.2962984886770723E-2</v>
      </c>
      <c r="P163">
        <f t="shared" si="31"/>
        <v>4.5085587273264061</v>
      </c>
      <c r="Q163">
        <f t="shared" si="45"/>
        <v>7.136329466342306E-2</v>
      </c>
      <c r="T163">
        <f t="shared" si="32"/>
        <v>0.85802565307327894</v>
      </c>
      <c r="U163">
        <f t="shared" si="33"/>
        <v>0.14197434692672103</v>
      </c>
      <c r="V163">
        <f t="shared" si="38"/>
        <v>7.1363294663422963E-2</v>
      </c>
      <c r="W163">
        <f t="shared" si="39"/>
        <v>9.7144514654701197E-17</v>
      </c>
      <c r="Y163">
        <f t="shared" si="40"/>
        <v>8.316922462502116E-2</v>
      </c>
      <c r="Z163">
        <f t="shared" si="41"/>
        <v>-1.3047737604213468E-2</v>
      </c>
      <c r="AA163">
        <f t="shared" si="42"/>
        <v>6.8931944650144281E-2</v>
      </c>
    </row>
    <row r="164" spans="1:27" x14ac:dyDescent="0.3">
      <c r="A164" s="1">
        <v>44061</v>
      </c>
      <c r="B164">
        <v>271.72000100000002</v>
      </c>
      <c r="C164">
        <v>276.79998799999998</v>
      </c>
      <c r="D164">
        <v>276.79998799999998</v>
      </c>
      <c r="E164">
        <f t="shared" si="43"/>
        <v>1.0400150074773249</v>
      </c>
      <c r="F164">
        <f t="shared" si="34"/>
        <v>4.0232554641022311</v>
      </c>
      <c r="G164">
        <f t="shared" si="35"/>
        <v>4.0015007477324893E-2</v>
      </c>
      <c r="I164">
        <v>42.59</v>
      </c>
      <c r="J164">
        <v>42.43</v>
      </c>
      <c r="K164">
        <v>40.153641</v>
      </c>
      <c r="L164">
        <f t="shared" si="44"/>
        <v>0.99507513449457541</v>
      </c>
      <c r="M164">
        <f t="shared" si="36"/>
        <v>0.6369472760544721</v>
      </c>
      <c r="N164">
        <f t="shared" si="37"/>
        <v>-4.9248655054245916E-3</v>
      </c>
      <c r="P164">
        <f t="shared" si="31"/>
        <v>4.660202740156703</v>
      </c>
      <c r="Q164">
        <f t="shared" si="45"/>
        <v>3.3634698359629178E-2</v>
      </c>
      <c r="T164">
        <f t="shared" si="32"/>
        <v>0.86332198155974349</v>
      </c>
      <c r="U164">
        <f t="shared" si="33"/>
        <v>0.13667801844025659</v>
      </c>
      <c r="V164">
        <f t="shared" si="38"/>
        <v>3.3634698359629241E-2</v>
      </c>
      <c r="W164">
        <f t="shared" si="39"/>
        <v>6.2450045135165055E-17</v>
      </c>
      <c r="Y164">
        <f t="shared" si="40"/>
        <v>3.9235143315824554E-2</v>
      </c>
      <c r="Z164">
        <f t="shared" si="41"/>
        <v>-4.9370326195863224E-3</v>
      </c>
      <c r="AA164">
        <f t="shared" si="42"/>
        <v>3.3081423877105345E-2</v>
      </c>
    </row>
    <row r="165" spans="1:27" x14ac:dyDescent="0.3">
      <c r="A165" s="1">
        <v>44062</v>
      </c>
      <c r="B165">
        <v>274.68499800000001</v>
      </c>
      <c r="C165">
        <v>273.51001000000002</v>
      </c>
      <c r="D165">
        <v>273.51001000000002</v>
      </c>
      <c r="E165">
        <f t="shared" si="43"/>
        <v>0.98811424081420129</v>
      </c>
      <c r="F165">
        <f t="shared" si="34"/>
        <v>3.9754360185129634</v>
      </c>
      <c r="G165">
        <f t="shared" si="35"/>
        <v>-1.1885759185798705E-2</v>
      </c>
      <c r="I165">
        <v>42.349997999999999</v>
      </c>
      <c r="J165">
        <v>41.959999000000003</v>
      </c>
      <c r="K165">
        <v>39.708855</v>
      </c>
      <c r="L165">
        <f t="shared" si="44"/>
        <v>0.98892289742790696</v>
      </c>
      <c r="M165">
        <f t="shared" si="36"/>
        <v>0.62989174574460149</v>
      </c>
      <c r="N165">
        <f t="shared" si="37"/>
        <v>-1.1077102572093045E-2</v>
      </c>
      <c r="P165">
        <f t="shared" si="31"/>
        <v>4.6053277642575647</v>
      </c>
      <c r="Q165">
        <f t="shared" si="45"/>
        <v>-1.1775233602238755E-2</v>
      </c>
      <c r="T165">
        <f t="shared" si="32"/>
        <v>0.86322542542286396</v>
      </c>
      <c r="U165">
        <f t="shared" si="33"/>
        <v>0.13677457457713604</v>
      </c>
      <c r="V165">
        <f t="shared" si="38"/>
        <v>-1.1775233602238809E-2</v>
      </c>
      <c r="W165">
        <f t="shared" si="39"/>
        <v>5.377642775528102E-17</v>
      </c>
      <c r="Y165">
        <f t="shared" si="40"/>
        <v>-1.1956959564257394E-2</v>
      </c>
      <c r="Z165">
        <f t="shared" si="41"/>
        <v>-1.113891053203633E-2</v>
      </c>
      <c r="AA165">
        <f t="shared" si="42"/>
        <v>-1.1845110753631432E-2</v>
      </c>
    </row>
    <row r="166" spans="1:27" x14ac:dyDescent="0.3">
      <c r="A166" s="1">
        <v>44063</v>
      </c>
      <c r="B166">
        <v>274.45001200000002</v>
      </c>
      <c r="C166">
        <v>290.69000199999999</v>
      </c>
      <c r="D166">
        <v>290.69000199999999</v>
      </c>
      <c r="E166">
        <f t="shared" si="43"/>
        <v>1.0628130283056183</v>
      </c>
      <c r="F166">
        <f t="shared" si="34"/>
        <v>4.2251451936709925</v>
      </c>
      <c r="G166">
        <f t="shared" si="35"/>
        <v>6.2813028305618301E-2</v>
      </c>
      <c r="I166">
        <v>41.689999</v>
      </c>
      <c r="J166">
        <v>41.32</v>
      </c>
      <c r="K166">
        <v>39.103191000000002</v>
      </c>
      <c r="L166">
        <f t="shared" si="44"/>
        <v>0.98474738191267419</v>
      </c>
      <c r="M166">
        <f t="shared" si="36"/>
        <v>0.62028424751040012</v>
      </c>
      <c r="N166">
        <f t="shared" si="37"/>
        <v>-1.5252618087325809E-2</v>
      </c>
      <c r="P166">
        <f t="shared" si="31"/>
        <v>4.845429441181393</v>
      </c>
      <c r="Q166">
        <f t="shared" si="45"/>
        <v>5.2135632731134196E-2</v>
      </c>
      <c r="T166">
        <f t="shared" si="32"/>
        <v>0.87198570218800564</v>
      </c>
      <c r="U166">
        <f t="shared" si="33"/>
        <v>0.12801429781199433</v>
      </c>
      <c r="V166">
        <f t="shared" si="38"/>
        <v>5.2135632731134238E-2</v>
      </c>
      <c r="W166">
        <f t="shared" si="39"/>
        <v>4.163336342344337E-17</v>
      </c>
      <c r="Y166">
        <f t="shared" si="40"/>
        <v>6.0919193301870449E-2</v>
      </c>
      <c r="Z166">
        <f t="shared" si="41"/>
        <v>-1.5370135766111464E-2</v>
      </c>
      <c r="AA166">
        <f t="shared" si="42"/>
        <v>5.0822034456608073E-2</v>
      </c>
    </row>
    <row r="167" spans="1:27" x14ac:dyDescent="0.3">
      <c r="A167" s="1">
        <v>44064</v>
      </c>
      <c r="B167">
        <v>291</v>
      </c>
      <c r="C167">
        <v>289.67999300000002</v>
      </c>
      <c r="D167">
        <v>289.67999300000002</v>
      </c>
      <c r="E167">
        <f t="shared" si="43"/>
        <v>0.99652547733650654</v>
      </c>
      <c r="F167">
        <f t="shared" si="34"/>
        <v>4.2104648309390322</v>
      </c>
      <c r="G167">
        <f t="shared" si="35"/>
        <v>-3.4745226634934623E-3</v>
      </c>
      <c r="I167">
        <v>41.299999</v>
      </c>
      <c r="J167">
        <v>41.009998000000003</v>
      </c>
      <c r="K167">
        <v>38.809821999999997</v>
      </c>
      <c r="L167">
        <f t="shared" si="44"/>
        <v>0.99249756880455087</v>
      </c>
      <c r="M167">
        <f t="shared" si="36"/>
        <v>0.61563060762183242</v>
      </c>
      <c r="N167">
        <f t="shared" si="37"/>
        <v>-7.502431195449133E-3</v>
      </c>
      <c r="P167">
        <f t="shared" si="31"/>
        <v>4.8260954385608645</v>
      </c>
      <c r="Q167">
        <f t="shared" si="45"/>
        <v>-3.9901525458627685E-3</v>
      </c>
      <c r="T167">
        <f t="shared" si="32"/>
        <v>0.87243712532021278</v>
      </c>
      <c r="U167">
        <f t="shared" si="33"/>
        <v>0.12756287467978725</v>
      </c>
      <c r="V167">
        <f t="shared" si="38"/>
        <v>-3.9901525458627077E-3</v>
      </c>
      <c r="W167">
        <f t="shared" si="39"/>
        <v>6.0715321659188248E-17</v>
      </c>
      <c r="Y167">
        <f t="shared" si="40"/>
        <v>-3.4805728357353641E-3</v>
      </c>
      <c r="Z167">
        <f t="shared" si="41"/>
        <v>-7.5307159909949253E-3</v>
      </c>
      <c r="AA167">
        <f t="shared" si="42"/>
        <v>-3.9981344442690872E-3</v>
      </c>
    </row>
    <row r="168" spans="1:27" x14ac:dyDescent="0.3">
      <c r="A168" s="1">
        <v>44067</v>
      </c>
      <c r="B168">
        <v>293</v>
      </c>
      <c r="C168">
        <v>282.27999899999998</v>
      </c>
      <c r="D168">
        <v>282.27999899999998</v>
      </c>
      <c r="E168">
        <f t="shared" si="43"/>
        <v>0.97445459065583429</v>
      </c>
      <c r="F168">
        <f t="shared" si="34"/>
        <v>4.1029067833034816</v>
      </c>
      <c r="G168">
        <f t="shared" si="35"/>
        <v>-2.5545409344165715E-2</v>
      </c>
      <c r="I168">
        <v>41.279998999999997</v>
      </c>
      <c r="J168">
        <v>42.220001000000003</v>
      </c>
      <c r="K168">
        <v>39.954906000000001</v>
      </c>
      <c r="L168">
        <f t="shared" si="44"/>
        <v>1.0295050052020338</v>
      </c>
      <c r="M168">
        <f t="shared" si="36"/>
        <v>0.63379479190224586</v>
      </c>
      <c r="N168">
        <f t="shared" si="37"/>
        <v>2.9505005202033807E-2</v>
      </c>
      <c r="P168">
        <f t="shared" si="31"/>
        <v>4.7367015752057275</v>
      </c>
      <c r="Q168">
        <f t="shared" si="45"/>
        <v>-1.8523020212338426E-2</v>
      </c>
      <c r="T168">
        <f t="shared" si="32"/>
        <v>0.86619490760831419</v>
      </c>
      <c r="U168">
        <f t="shared" si="33"/>
        <v>0.13380509239168575</v>
      </c>
      <c r="V168">
        <f t="shared" si="38"/>
        <v>-1.852302021233853E-2</v>
      </c>
      <c r="W168">
        <f t="shared" si="39"/>
        <v>1.0408340855860843E-16</v>
      </c>
      <c r="Y168">
        <f t="shared" si="40"/>
        <v>-2.58773587027426E-2</v>
      </c>
      <c r="Z168">
        <f t="shared" si="41"/>
        <v>2.9078109253426129E-2</v>
      </c>
      <c r="AA168">
        <f t="shared" si="42"/>
        <v>-1.8696719654110325E-2</v>
      </c>
    </row>
    <row r="169" spans="1:27" x14ac:dyDescent="0.3">
      <c r="A169" s="1">
        <v>44068</v>
      </c>
      <c r="B169">
        <v>279</v>
      </c>
      <c r="C169">
        <v>290.44000199999999</v>
      </c>
      <c r="D169">
        <v>290.44000199999999</v>
      </c>
      <c r="E169">
        <f t="shared" si="43"/>
        <v>1.028907478492658</v>
      </c>
      <c r="F169">
        <f t="shared" si="34"/>
        <v>4.2215114728992074</v>
      </c>
      <c r="G169">
        <f t="shared" si="35"/>
        <v>2.8907478492657956E-2</v>
      </c>
      <c r="I169">
        <v>41.66</v>
      </c>
      <c r="J169">
        <v>40.880001</v>
      </c>
      <c r="K169">
        <v>38.686798000000003</v>
      </c>
      <c r="L169">
        <f t="shared" si="44"/>
        <v>0.9682615196241483</v>
      </c>
      <c r="M169">
        <f t="shared" si="36"/>
        <v>0.61367910833713946</v>
      </c>
      <c r="N169">
        <f t="shared" si="37"/>
        <v>-3.1738480375851696E-2</v>
      </c>
      <c r="P169">
        <f t="shared" si="31"/>
        <v>4.8351905812363469</v>
      </c>
      <c r="Q169">
        <f t="shared" si="45"/>
        <v>2.0792740363074547E-2</v>
      </c>
      <c r="T169">
        <f t="shared" si="32"/>
        <v>0.87308067840829073</v>
      </c>
      <c r="U169">
        <f t="shared" si="33"/>
        <v>0.12691932159170924</v>
      </c>
      <c r="V169">
        <f t="shared" si="38"/>
        <v>2.0792740363074647E-2</v>
      </c>
      <c r="W169">
        <f t="shared" si="39"/>
        <v>1.0061396160665481E-16</v>
      </c>
      <c r="Y169">
        <f t="shared" si="40"/>
        <v>2.8497538808102199E-2</v>
      </c>
      <c r="Z169">
        <f t="shared" si="41"/>
        <v>-3.2253063292545549E-2</v>
      </c>
      <c r="AA169">
        <f t="shared" si="42"/>
        <v>2.0579521869810987E-2</v>
      </c>
    </row>
    <row r="170" spans="1:27" x14ac:dyDescent="0.3">
      <c r="A170" s="1">
        <v>44069</v>
      </c>
      <c r="B170">
        <v>293</v>
      </c>
      <c r="C170">
        <v>295.26998900000001</v>
      </c>
      <c r="D170">
        <v>295.26998900000001</v>
      </c>
      <c r="E170">
        <f t="shared" si="43"/>
        <v>1.0166298959053168</v>
      </c>
      <c r="F170">
        <f t="shared" si="34"/>
        <v>4.2917147692566218</v>
      </c>
      <c r="G170">
        <f t="shared" si="35"/>
        <v>1.6629895905316827E-2</v>
      </c>
      <c r="I170">
        <v>40.639999000000003</v>
      </c>
      <c r="J170">
        <v>40.009998000000003</v>
      </c>
      <c r="K170">
        <v>37.863472000000002</v>
      </c>
      <c r="L170">
        <f t="shared" si="44"/>
        <v>0.97871816633674358</v>
      </c>
      <c r="M170">
        <f t="shared" si="36"/>
        <v>0.60061889163089288</v>
      </c>
      <c r="N170">
        <f t="shared" si="37"/>
        <v>-2.1281833663256422E-2</v>
      </c>
      <c r="P170">
        <f t="shared" si="31"/>
        <v>4.8923336608875143</v>
      </c>
      <c r="Q170">
        <f t="shared" si="45"/>
        <v>1.1818164908105055E-2</v>
      </c>
      <c r="T170">
        <f t="shared" si="32"/>
        <v>0.87723263921415884</v>
      </c>
      <c r="U170">
        <f t="shared" si="33"/>
        <v>0.12276736078584123</v>
      </c>
      <c r="V170">
        <f t="shared" si="38"/>
        <v>1.1818164908105167E-2</v>
      </c>
      <c r="W170">
        <f t="shared" si="39"/>
        <v>1.1102230246251565E-16</v>
      </c>
      <c r="Y170">
        <f t="shared" si="40"/>
        <v>1.6493133335150609E-2</v>
      </c>
      <c r="Z170">
        <f t="shared" si="41"/>
        <v>-2.151155702165514E-2</v>
      </c>
      <c r="AA170">
        <f t="shared" si="42"/>
        <v>1.1748875776518144E-2</v>
      </c>
    </row>
    <row r="171" spans="1:27" x14ac:dyDescent="0.3">
      <c r="A171" s="1">
        <v>44070</v>
      </c>
      <c r="B171">
        <v>295.69000199999999</v>
      </c>
      <c r="C171">
        <v>294.67999300000002</v>
      </c>
      <c r="D171">
        <v>294.67999300000002</v>
      </c>
      <c r="E171">
        <f t="shared" si="43"/>
        <v>0.99800184230710964</v>
      </c>
      <c r="F171">
        <f t="shared" si="34"/>
        <v>4.2831392463747404</v>
      </c>
      <c r="G171">
        <f t="shared" si="35"/>
        <v>-1.9981576928903566E-3</v>
      </c>
      <c r="I171">
        <v>40</v>
      </c>
      <c r="J171">
        <v>39.740001999999997</v>
      </c>
      <c r="K171">
        <v>37.607959999999999</v>
      </c>
      <c r="L171">
        <f t="shared" si="44"/>
        <v>0.99325175461986148</v>
      </c>
      <c r="M171">
        <f t="shared" si="36"/>
        <v>0.59656576797022076</v>
      </c>
      <c r="N171">
        <f t="shared" si="37"/>
        <v>-6.7482453801385178E-3</v>
      </c>
      <c r="P171">
        <f t="shared" si="31"/>
        <v>4.8797050143449612</v>
      </c>
      <c r="Q171">
        <f t="shared" si="45"/>
        <v>-2.5813134217550493E-3</v>
      </c>
      <c r="T171">
        <f t="shared" si="32"/>
        <v>0.87774552637577785</v>
      </c>
      <c r="U171">
        <f t="shared" si="33"/>
        <v>0.12225447362422218</v>
      </c>
      <c r="V171">
        <f t="shared" si="38"/>
        <v>-2.5813134217551339E-3</v>
      </c>
      <c r="W171">
        <f t="shared" si="39"/>
        <v>8.4567769453869346E-17</v>
      </c>
      <c r="Y171">
        <f t="shared" si="40"/>
        <v>-2.0001566732690723E-3</v>
      </c>
      <c r="Z171">
        <f t="shared" si="41"/>
        <v>-6.7711177449553553E-3</v>
      </c>
      <c r="AA171">
        <f t="shared" si="42"/>
        <v>-2.5846507556192867E-3</v>
      </c>
    </row>
    <row r="172" spans="1:27" x14ac:dyDescent="0.3">
      <c r="A172" s="1">
        <v>44071</v>
      </c>
      <c r="B172">
        <v>299.22000100000002</v>
      </c>
      <c r="C172">
        <v>299.26998900000001</v>
      </c>
      <c r="D172">
        <v>299.26998900000001</v>
      </c>
      <c r="E172">
        <f t="shared" si="43"/>
        <v>1.0155762050666262</v>
      </c>
      <c r="F172">
        <f t="shared" si="34"/>
        <v>4.3498543016051876</v>
      </c>
      <c r="G172">
        <f t="shared" si="35"/>
        <v>1.5576205066626159E-2</v>
      </c>
      <c r="I172">
        <v>39.840000000000003</v>
      </c>
      <c r="J172">
        <v>40.689999</v>
      </c>
      <c r="K172">
        <v>38.506988999999997</v>
      </c>
      <c r="L172">
        <f t="shared" si="44"/>
        <v>1.0239052849449957</v>
      </c>
      <c r="M172">
        <f t="shared" si="36"/>
        <v>0.61082684264197906</v>
      </c>
      <c r="N172">
        <f t="shared" si="37"/>
        <v>2.3905284944995664E-2</v>
      </c>
      <c r="P172">
        <f t="shared" si="31"/>
        <v>4.9606811442471663</v>
      </c>
      <c r="Q172">
        <f t="shared" si="45"/>
        <v>1.65944723429301E-2</v>
      </c>
      <c r="T172">
        <f t="shared" si="32"/>
        <v>0.87686633652107504</v>
      </c>
      <c r="U172">
        <f t="shared" si="33"/>
        <v>0.12313366347892497</v>
      </c>
      <c r="V172">
        <f t="shared" si="38"/>
        <v>1.6594472342930322E-2</v>
      </c>
      <c r="W172">
        <f t="shared" si="39"/>
        <v>2.2204460492503131E-16</v>
      </c>
      <c r="Y172">
        <f t="shared" si="40"/>
        <v>1.5456141139712521E-2</v>
      </c>
      <c r="Z172">
        <f t="shared" si="41"/>
        <v>2.3624027168471257E-2</v>
      </c>
      <c r="AA172">
        <f t="shared" si="42"/>
        <v>1.6458288619590925E-2</v>
      </c>
    </row>
    <row r="173" spans="1:27" x14ac:dyDescent="0.3">
      <c r="A173" s="1">
        <v>44074</v>
      </c>
      <c r="B173">
        <v>304.01001000000002</v>
      </c>
      <c r="C173">
        <v>325.10000600000001</v>
      </c>
      <c r="D173">
        <v>325.10000600000001</v>
      </c>
      <c r="E173">
        <f t="shared" si="43"/>
        <v>1.0863100810285391</v>
      </c>
      <c r="F173">
        <f t="shared" si="34"/>
        <v>4.7252905788390711</v>
      </c>
      <c r="G173">
        <f t="shared" si="35"/>
        <v>8.6310081028539098E-2</v>
      </c>
      <c r="I173">
        <v>40.639999000000003</v>
      </c>
      <c r="J173">
        <v>39.939999</v>
      </c>
      <c r="K173">
        <v>37.797226000000002</v>
      </c>
      <c r="L173">
        <f t="shared" si="44"/>
        <v>0.98156794341931031</v>
      </c>
      <c r="M173">
        <f t="shared" si="36"/>
        <v>0.59956804771739802</v>
      </c>
      <c r="N173">
        <f t="shared" si="37"/>
        <v>-1.8432056580689693E-2</v>
      </c>
      <c r="P173">
        <f t="shared" si="31"/>
        <v>5.3248586265564688</v>
      </c>
      <c r="Q173">
        <f t="shared" si="45"/>
        <v>7.3412797904101046E-2</v>
      </c>
      <c r="T173">
        <f t="shared" si="32"/>
        <v>0.88740207209874189</v>
      </c>
      <c r="U173">
        <f t="shared" si="33"/>
        <v>0.11259792790125819</v>
      </c>
      <c r="V173">
        <f t="shared" si="38"/>
        <v>7.3412797904101074E-2</v>
      </c>
      <c r="W173">
        <f t="shared" si="39"/>
        <v>2.7755575615628914E-17</v>
      </c>
      <c r="Y173">
        <f t="shared" si="40"/>
        <v>8.2786706565975268E-2</v>
      </c>
      <c r="Z173">
        <f t="shared" si="41"/>
        <v>-1.8604043596992657E-2</v>
      </c>
      <c r="AA173">
        <f t="shared" si="42"/>
        <v>7.0843103462108481E-2</v>
      </c>
    </row>
    <row r="174" spans="1:27" x14ac:dyDescent="0.3">
      <c r="A174" s="1">
        <v>44075</v>
      </c>
      <c r="B174">
        <v>439.51001000000002</v>
      </c>
      <c r="C174">
        <v>457.69000199999999</v>
      </c>
      <c r="D174">
        <v>457.69000199999999</v>
      </c>
      <c r="E174">
        <f t="shared" si="43"/>
        <v>1.4078437205565599</v>
      </c>
      <c r="F174">
        <f t="shared" si="34"/>
        <v>6.6524706692236588</v>
      </c>
      <c r="G174">
        <f t="shared" si="35"/>
        <v>0.40784372055655993</v>
      </c>
      <c r="I174">
        <v>39.75</v>
      </c>
      <c r="J174">
        <v>39.43</v>
      </c>
      <c r="K174">
        <v>37.314590000000003</v>
      </c>
      <c r="L174">
        <f t="shared" si="44"/>
        <v>0.98723091477665581</v>
      </c>
      <c r="M174">
        <f t="shared" si="36"/>
        <v>0.5919121122189005</v>
      </c>
      <c r="N174">
        <f t="shared" si="37"/>
        <v>-1.276908522334419E-2</v>
      </c>
      <c r="P174">
        <f t="shared" si="31"/>
        <v>7.2443827814425594</v>
      </c>
      <c r="Q174">
        <f t="shared" si="45"/>
        <v>0.36048359017700848</v>
      </c>
      <c r="T174">
        <f t="shared" si="32"/>
        <v>0.91829364487266441</v>
      </c>
      <c r="U174">
        <f t="shared" si="33"/>
        <v>8.1706355127335525E-2</v>
      </c>
      <c r="V174">
        <f t="shared" si="38"/>
        <v>0.36048359017700843</v>
      </c>
      <c r="W174">
        <f t="shared" si="39"/>
        <v>5.5511151231257827E-17</v>
      </c>
      <c r="Y174">
        <f t="shared" si="40"/>
        <v>0.34205925765267159</v>
      </c>
      <c r="Z174">
        <f t="shared" si="41"/>
        <v>-1.2851310704789749E-2</v>
      </c>
      <c r="AA174">
        <f t="shared" si="42"/>
        <v>0.30784021755652097</v>
      </c>
    </row>
    <row r="175" spans="1:27" x14ac:dyDescent="0.3">
      <c r="A175" s="1">
        <v>44076</v>
      </c>
      <c r="B175">
        <v>445.67001299999998</v>
      </c>
      <c r="C175">
        <v>423.55999800000001</v>
      </c>
      <c r="D175">
        <v>423.55999800000001</v>
      </c>
      <c r="E175">
        <f t="shared" si="43"/>
        <v>0.92542986770333691</v>
      </c>
      <c r="F175">
        <f t="shared" si="34"/>
        <v>6.1563950513199801</v>
      </c>
      <c r="G175">
        <f t="shared" si="35"/>
        <v>-7.4570132296663094E-2</v>
      </c>
      <c r="I175">
        <v>39.229999999999997</v>
      </c>
      <c r="J175">
        <v>39.189999</v>
      </c>
      <c r="K175">
        <v>37.087463</v>
      </c>
      <c r="L175">
        <f t="shared" si="44"/>
        <v>0.9939131851643016</v>
      </c>
      <c r="M175">
        <f t="shared" si="36"/>
        <v>0.58830925279281687</v>
      </c>
      <c r="N175">
        <f t="shared" si="37"/>
        <v>-6.0868148356983953E-3</v>
      </c>
      <c r="P175">
        <f t="shared" si="31"/>
        <v>6.7447043041127968</v>
      </c>
      <c r="Q175">
        <f t="shared" si="45"/>
        <v>-6.8974610039899464E-2</v>
      </c>
      <c r="T175">
        <f t="shared" si="32"/>
        <v>0.91277464121976759</v>
      </c>
      <c r="U175">
        <f t="shared" si="33"/>
        <v>8.7225358780232465E-2</v>
      </c>
      <c r="V175">
        <f t="shared" si="38"/>
        <v>-6.897461003989945E-2</v>
      </c>
      <c r="W175">
        <f t="shared" si="39"/>
        <v>1.3877787807814457E-17</v>
      </c>
      <c r="Y175">
        <f t="shared" si="40"/>
        <v>-7.7496927578018404E-2</v>
      </c>
      <c r="Z175">
        <f t="shared" si="41"/>
        <v>-6.1054150087359845E-3</v>
      </c>
      <c r="AA175">
        <f t="shared" si="42"/>
        <v>-7.1468730368987224E-2</v>
      </c>
    </row>
    <row r="176" spans="1:27" x14ac:dyDescent="0.3">
      <c r="A176" s="1">
        <v>44077</v>
      </c>
      <c r="B176">
        <v>399.54998799999998</v>
      </c>
      <c r="C176">
        <v>381.32000699999998</v>
      </c>
      <c r="D176">
        <v>381.32000699999998</v>
      </c>
      <c r="E176">
        <f t="shared" si="43"/>
        <v>0.90027388988702373</v>
      </c>
      <c r="F176">
        <f t="shared" si="34"/>
        <v>5.5424417205330618</v>
      </c>
      <c r="G176">
        <f t="shared" si="35"/>
        <v>-9.9726110112976274E-2</v>
      </c>
      <c r="I176">
        <v>39.200001</v>
      </c>
      <c r="J176">
        <v>39.110000999999997</v>
      </c>
      <c r="K176">
        <v>37.011757000000003</v>
      </c>
      <c r="L176">
        <f t="shared" si="44"/>
        <v>0.99795871720856189</v>
      </c>
      <c r="M176">
        <f t="shared" si="36"/>
        <v>0.58710834723904703</v>
      </c>
      <c r="N176">
        <f t="shared" si="37"/>
        <v>-2.0412827914381149E-3</v>
      </c>
      <c r="P176">
        <f t="shared" si="31"/>
        <v>6.1295500677721089</v>
      </c>
      <c r="Q176">
        <f t="shared" si="45"/>
        <v>-9.1205516002469955E-2</v>
      </c>
      <c r="T176">
        <f t="shared" si="32"/>
        <v>0.90421673030685568</v>
      </c>
      <c r="U176">
        <f t="shared" si="33"/>
        <v>9.5783269693144338E-2</v>
      </c>
      <c r="V176">
        <f t="shared" si="38"/>
        <v>-9.1205516002470066E-2</v>
      </c>
      <c r="W176">
        <f t="shared" si="39"/>
        <v>1.1102230246251565E-16</v>
      </c>
      <c r="Y176">
        <f t="shared" si="40"/>
        <v>-0.10505623985771007</v>
      </c>
      <c r="Z176">
        <f t="shared" si="41"/>
        <v>-2.0433690487329779E-3</v>
      </c>
      <c r="AA176">
        <f t="shared" si="42"/>
        <v>-9.5636300578641253E-2</v>
      </c>
    </row>
    <row r="177" spans="1:27" x14ac:dyDescent="0.3">
      <c r="A177" s="1">
        <v>44078</v>
      </c>
      <c r="B177">
        <v>375.5</v>
      </c>
      <c r="C177">
        <v>369.89001500000001</v>
      </c>
      <c r="D177">
        <v>369.89001500000001</v>
      </c>
      <c r="E177">
        <f t="shared" si="43"/>
        <v>0.97002519723545488</v>
      </c>
      <c r="F177">
        <f t="shared" si="34"/>
        <v>5.3763081231260976</v>
      </c>
      <c r="G177">
        <f t="shared" si="35"/>
        <v>-2.9974802764545116E-2</v>
      </c>
      <c r="I177">
        <v>39.459999000000003</v>
      </c>
      <c r="J177">
        <v>39.080002</v>
      </c>
      <c r="K177">
        <v>36.983367999999999</v>
      </c>
      <c r="L177">
        <f t="shared" si="44"/>
        <v>0.9992329734575961</v>
      </c>
      <c r="M177">
        <f t="shared" si="36"/>
        <v>0.58665801955344776</v>
      </c>
      <c r="N177">
        <f t="shared" si="37"/>
        <v>-7.6702654240390356E-4</v>
      </c>
      <c r="P177">
        <f t="shared" si="31"/>
        <v>5.9629661426795453</v>
      </c>
      <c r="Q177">
        <f t="shared" si="45"/>
        <v>-2.7177186457522762E-2</v>
      </c>
      <c r="T177">
        <f t="shared" si="32"/>
        <v>0.90161640943179588</v>
      </c>
      <c r="U177">
        <f t="shared" si="33"/>
        <v>9.8383590568204116E-2</v>
      </c>
      <c r="V177">
        <f t="shared" si="38"/>
        <v>-2.7177186457522758E-2</v>
      </c>
      <c r="W177">
        <f t="shared" si="39"/>
        <v>3.4694469519536142E-18</v>
      </c>
      <c r="Y177">
        <f t="shared" si="40"/>
        <v>-3.0433231290696007E-2</v>
      </c>
      <c r="Z177">
        <f t="shared" si="41"/>
        <v>-7.6732085777036845E-4</v>
      </c>
      <c r="AA177">
        <f t="shared" si="42"/>
        <v>-2.7553316624082738E-2</v>
      </c>
    </row>
    <row r="178" spans="1:27" x14ac:dyDescent="0.3">
      <c r="A178" s="1">
        <v>44082</v>
      </c>
      <c r="B178">
        <v>350.70001200000002</v>
      </c>
      <c r="C178">
        <v>350.88000499999998</v>
      </c>
      <c r="D178">
        <v>350.88000499999998</v>
      </c>
      <c r="E178">
        <f t="shared" si="43"/>
        <v>0.9486063174752094</v>
      </c>
      <c r="F178">
        <f t="shared" si="34"/>
        <v>5.0999998502907022</v>
      </c>
      <c r="G178">
        <f t="shared" si="35"/>
        <v>-5.1393682524790596E-2</v>
      </c>
      <c r="I178">
        <v>38.25</v>
      </c>
      <c r="J178">
        <v>38.18</v>
      </c>
      <c r="K178">
        <v>36.131653</v>
      </c>
      <c r="L178">
        <f t="shared" si="44"/>
        <v>0.97697032352488833</v>
      </c>
      <c r="M178">
        <f t="shared" si="36"/>
        <v>0.57314747516160214</v>
      </c>
      <c r="N178">
        <f t="shared" si="37"/>
        <v>-2.3029676475111671E-2</v>
      </c>
      <c r="P178">
        <f t="shared" si="31"/>
        <v>5.6731473254523044</v>
      </c>
      <c r="Q178">
        <f t="shared" si="45"/>
        <v>-4.8603129766724873E-2</v>
      </c>
      <c r="T178">
        <f t="shared" si="32"/>
        <v>0.89897186829783116</v>
      </c>
      <c r="U178">
        <f t="shared" si="33"/>
        <v>0.1010281317021688</v>
      </c>
      <c r="V178">
        <f t="shared" si="38"/>
        <v>-4.8603129766724922E-2</v>
      </c>
      <c r="W178">
        <f t="shared" si="39"/>
        <v>4.8572257327350599E-17</v>
      </c>
      <c r="Y178">
        <f t="shared" si="40"/>
        <v>-5.2761405772502469E-2</v>
      </c>
      <c r="Z178">
        <f t="shared" si="41"/>
        <v>-2.3299002503155523E-2</v>
      </c>
      <c r="AA178">
        <f t="shared" si="42"/>
        <v>-4.9823984632760644E-2</v>
      </c>
    </row>
    <row r="179" spans="1:27" x14ac:dyDescent="0.3">
      <c r="A179" s="1">
        <v>44083</v>
      </c>
      <c r="B179">
        <v>369.75</v>
      </c>
      <c r="C179">
        <v>389.64999399999999</v>
      </c>
      <c r="D179">
        <v>389.64999399999999</v>
      </c>
      <c r="E179">
        <f t="shared" si="43"/>
        <v>1.1104935831268015</v>
      </c>
      <c r="F179">
        <f t="shared" si="34"/>
        <v>5.6635171076954727</v>
      </c>
      <c r="G179">
        <f t="shared" si="35"/>
        <v>0.11049358312680146</v>
      </c>
      <c r="I179">
        <v>38.349997999999999</v>
      </c>
      <c r="J179">
        <v>37.950001</v>
      </c>
      <c r="K179">
        <v>35.913994000000002</v>
      </c>
      <c r="L179">
        <f t="shared" si="44"/>
        <v>0.99397594679656653</v>
      </c>
      <c r="M179">
        <f t="shared" si="36"/>
        <v>0.56969480427781505</v>
      </c>
      <c r="N179">
        <f t="shared" si="37"/>
        <v>-6.024053203433466E-3</v>
      </c>
      <c r="P179">
        <f t="shared" si="31"/>
        <v>6.2332119119732878</v>
      </c>
      <c r="Q179">
        <f t="shared" si="45"/>
        <v>9.8722024018005117E-2</v>
      </c>
      <c r="T179">
        <f t="shared" si="32"/>
        <v>0.90860333126433634</v>
      </c>
      <c r="U179">
        <f t="shared" si="33"/>
        <v>9.1396668735663614E-2</v>
      </c>
      <c r="V179">
        <f t="shared" si="38"/>
        <v>9.8722024018005075E-2</v>
      </c>
      <c r="W179">
        <f t="shared" si="39"/>
        <v>4.163336342344337E-17</v>
      </c>
      <c r="Y179">
        <f t="shared" si="40"/>
        <v>0.1048045859716714</v>
      </c>
      <c r="Z179">
        <f t="shared" si="41"/>
        <v>-6.042271012145114E-3</v>
      </c>
      <c r="AA179">
        <f t="shared" si="42"/>
        <v>9.4147708048505058E-2</v>
      </c>
    </row>
    <row r="180" spans="1:27" x14ac:dyDescent="0.3">
      <c r="A180" s="1">
        <v>44084</v>
      </c>
      <c r="B180">
        <v>400</v>
      </c>
      <c r="C180">
        <v>384.48001099999999</v>
      </c>
      <c r="D180">
        <v>384.48001099999999</v>
      </c>
      <c r="E180">
        <f t="shared" si="43"/>
        <v>0.98673172570355538</v>
      </c>
      <c r="F180">
        <f t="shared" si="34"/>
        <v>5.5883720092279621</v>
      </c>
      <c r="G180">
        <f t="shared" si="35"/>
        <v>-1.3268274296444615E-2</v>
      </c>
      <c r="I180">
        <v>38.270000000000003</v>
      </c>
      <c r="J180">
        <v>37</v>
      </c>
      <c r="K180">
        <v>35.014957000000003</v>
      </c>
      <c r="L180">
        <f t="shared" si="44"/>
        <v>0.97496694464001976</v>
      </c>
      <c r="M180">
        <f t="shared" si="36"/>
        <v>0.55543360270403541</v>
      </c>
      <c r="N180">
        <f t="shared" si="37"/>
        <v>-2.5033055359980239E-2</v>
      </c>
      <c r="P180">
        <f t="shared" si="31"/>
        <v>6.143805611931997</v>
      </c>
      <c r="Q180">
        <f t="shared" si="45"/>
        <v>-1.4343536094056364E-2</v>
      </c>
      <c r="T180">
        <f t="shared" si="32"/>
        <v>0.90959453508338262</v>
      </c>
      <c r="U180">
        <f t="shared" si="33"/>
        <v>9.0405464916617426E-2</v>
      </c>
      <c r="V180">
        <f t="shared" si="38"/>
        <v>-1.4343536094056189E-2</v>
      </c>
      <c r="W180">
        <f t="shared" si="39"/>
        <v>1.7520707107365752E-16</v>
      </c>
      <c r="Y180">
        <f t="shared" si="40"/>
        <v>-1.335708429290621E-2</v>
      </c>
      <c r="Z180">
        <f t="shared" si="41"/>
        <v>-2.5351711492320374E-2</v>
      </c>
      <c r="AA180">
        <f t="shared" si="42"/>
        <v>-1.4447398978217714E-2</v>
      </c>
    </row>
    <row r="181" spans="1:27" x14ac:dyDescent="0.3">
      <c r="A181" s="1">
        <v>44085</v>
      </c>
      <c r="B181">
        <v>389.13000499999998</v>
      </c>
      <c r="C181">
        <v>383</v>
      </c>
      <c r="D181">
        <v>383</v>
      </c>
      <c r="E181">
        <f t="shared" si="43"/>
        <v>0.9961506165271099</v>
      </c>
      <c r="F181">
        <f t="shared" si="34"/>
        <v>5.5668602223752783</v>
      </c>
      <c r="G181">
        <f t="shared" si="35"/>
        <v>-3.8493834728901E-3</v>
      </c>
      <c r="I181">
        <v>37.130001</v>
      </c>
      <c r="J181">
        <v>36.900002000000001</v>
      </c>
      <c r="K181">
        <v>34.920326000000003</v>
      </c>
      <c r="L181">
        <f t="shared" si="44"/>
        <v>0.99729741207450295</v>
      </c>
      <c r="M181">
        <f t="shared" si="36"/>
        <v>0.55393249455595217</v>
      </c>
      <c r="N181">
        <f t="shared" si="37"/>
        <v>-2.7025879254970464E-3</v>
      </c>
      <c r="P181">
        <f t="shared" si="31"/>
        <v>6.1207927169312306</v>
      </c>
      <c r="Q181">
        <f t="shared" si="45"/>
        <v>-3.7457068882635891E-3</v>
      </c>
      <c r="T181">
        <f t="shared" si="32"/>
        <v>0.9094998768666559</v>
      </c>
      <c r="U181">
        <f t="shared" si="33"/>
        <v>9.0500123133344101E-2</v>
      </c>
      <c r="V181">
        <f t="shared" si="38"/>
        <v>-3.745706888263724E-3</v>
      </c>
      <c r="W181">
        <f t="shared" si="39"/>
        <v>1.3487475025719675E-16</v>
      </c>
      <c r="Y181">
        <f t="shared" si="40"/>
        <v>-3.8568114175831377E-3</v>
      </c>
      <c r="Z181">
        <f t="shared" si="41"/>
        <v>-2.7062465094945701E-3</v>
      </c>
      <c r="AA181">
        <f t="shared" si="42"/>
        <v>-3.7527396154925876E-3</v>
      </c>
    </row>
    <row r="182" spans="1:27" x14ac:dyDescent="0.3">
      <c r="A182" s="1">
        <v>44088</v>
      </c>
      <c r="B182">
        <v>391.74499500000002</v>
      </c>
      <c r="C182">
        <v>403.51001000000002</v>
      </c>
      <c r="D182">
        <v>403.51001000000002</v>
      </c>
      <c r="E182">
        <f t="shared" si="43"/>
        <v>1.0535509399477807</v>
      </c>
      <c r="F182">
        <f t="shared" si="34"/>
        <v>5.8649708198413864</v>
      </c>
      <c r="G182">
        <f t="shared" si="35"/>
        <v>5.3550939947780707E-2</v>
      </c>
      <c r="I182">
        <v>36.909999999999997</v>
      </c>
      <c r="J182">
        <v>36.659999999999997</v>
      </c>
      <c r="K182">
        <v>34.693199</v>
      </c>
      <c r="L182">
        <f t="shared" si="44"/>
        <v>0.99349585109829719</v>
      </c>
      <c r="M182">
        <f t="shared" si="36"/>
        <v>0.55032963512986854</v>
      </c>
      <c r="N182">
        <f t="shared" si="37"/>
        <v>-6.5041489017028109E-3</v>
      </c>
      <c r="P182">
        <f t="shared" si="31"/>
        <v>6.4153004549712547</v>
      </c>
      <c r="Q182">
        <f t="shared" si="45"/>
        <v>4.8115947012118632E-2</v>
      </c>
      <c r="T182">
        <f t="shared" si="32"/>
        <v>0.91421607779828695</v>
      </c>
      <c r="U182">
        <f t="shared" si="33"/>
        <v>8.5783922201713061E-2</v>
      </c>
      <c r="V182">
        <f t="shared" si="38"/>
        <v>4.8115947012118528E-2</v>
      </c>
      <c r="W182">
        <f t="shared" si="39"/>
        <v>1.0408340855860843E-16</v>
      </c>
      <c r="Y182">
        <f t="shared" si="40"/>
        <v>5.2166306152253088E-2</v>
      </c>
      <c r="Z182">
        <f t="shared" si="41"/>
        <v>-6.5253930449870401E-3</v>
      </c>
      <c r="AA182">
        <f t="shared" si="42"/>
        <v>4.6994216241033698E-2</v>
      </c>
    </row>
    <row r="183" spans="1:27" x14ac:dyDescent="0.3">
      <c r="A183" s="1">
        <v>44089</v>
      </c>
      <c r="B183">
        <v>410</v>
      </c>
      <c r="C183">
        <v>410.94000199999999</v>
      </c>
      <c r="D183">
        <v>410.94000199999999</v>
      </c>
      <c r="E183">
        <f t="shared" si="43"/>
        <v>1.0184134019376618</v>
      </c>
      <c r="F183">
        <f t="shared" si="34"/>
        <v>5.9729648848997838</v>
      </c>
      <c r="G183">
        <f t="shared" si="35"/>
        <v>1.8413401937661833E-2</v>
      </c>
      <c r="I183">
        <v>36.799999</v>
      </c>
      <c r="J183">
        <v>36.270000000000003</v>
      </c>
      <c r="K183">
        <v>34.324123</v>
      </c>
      <c r="L183">
        <f t="shared" si="44"/>
        <v>0.98936171899282044</v>
      </c>
      <c r="M183">
        <f t="shared" si="36"/>
        <v>0.54447507382477844</v>
      </c>
      <c r="N183">
        <f t="shared" si="37"/>
        <v>-1.0638281007179562E-2</v>
      </c>
      <c r="P183">
        <f t="shared" si="31"/>
        <v>6.5174399587245624</v>
      </c>
      <c r="Q183">
        <f t="shared" si="45"/>
        <v>1.5921234628092806E-2</v>
      </c>
      <c r="T183">
        <f t="shared" si="32"/>
        <v>0.91645875109353059</v>
      </c>
      <c r="U183">
        <f t="shared" si="33"/>
        <v>8.3541248906469426E-2</v>
      </c>
      <c r="V183">
        <f t="shared" si="38"/>
        <v>1.5921234628092727E-2</v>
      </c>
      <c r="W183">
        <f t="shared" si="39"/>
        <v>7.9797279894933126E-17</v>
      </c>
      <c r="Y183">
        <f t="shared" si="40"/>
        <v>1.8245927971860199E-2</v>
      </c>
      <c r="Z183">
        <f t="shared" si="41"/>
        <v>-1.0695272070241424E-2</v>
      </c>
      <c r="AA183">
        <f t="shared" si="42"/>
        <v>1.5795821178724561E-2</v>
      </c>
    </row>
    <row r="184" spans="1:27" x14ac:dyDescent="0.3">
      <c r="A184" s="1">
        <v>44090</v>
      </c>
      <c r="B184">
        <v>406.27398699999998</v>
      </c>
      <c r="C184">
        <v>408.17001299999998</v>
      </c>
      <c r="D184">
        <v>408.17001299999998</v>
      </c>
      <c r="E184">
        <f t="shared" si="43"/>
        <v>0.99325938339777398</v>
      </c>
      <c r="F184">
        <f t="shared" si="34"/>
        <v>5.9327034186321157</v>
      </c>
      <c r="G184">
        <f t="shared" si="35"/>
        <v>-6.7406166022260239E-3</v>
      </c>
      <c r="I184">
        <v>36.459999000000003</v>
      </c>
      <c r="J184">
        <v>37.810001</v>
      </c>
      <c r="K184">
        <v>35.781502000000003</v>
      </c>
      <c r="L184">
        <f t="shared" si="44"/>
        <v>1.0424593222673162</v>
      </c>
      <c r="M184">
        <f t="shared" si="36"/>
        <v>0.56759311645082544</v>
      </c>
      <c r="N184">
        <f t="shared" si="37"/>
        <v>4.2459322267316191E-2</v>
      </c>
      <c r="P184">
        <f t="shared" si="31"/>
        <v>6.5002965350829411</v>
      </c>
      <c r="Q184">
        <f t="shared" si="45"/>
        <v>-2.6303922629424825E-3</v>
      </c>
      <c r="T184">
        <f t="shared" si="32"/>
        <v>0.91268196560149961</v>
      </c>
      <c r="U184">
        <f t="shared" si="33"/>
        <v>8.731803439850043E-2</v>
      </c>
      <c r="V184">
        <f t="shared" si="38"/>
        <v>-2.6303922629425172E-3</v>
      </c>
      <c r="W184">
        <f t="shared" si="39"/>
        <v>3.4694469519536142E-17</v>
      </c>
      <c r="Y184">
        <f t="shared" si="40"/>
        <v>-6.7634371659074637E-3</v>
      </c>
      <c r="Z184">
        <f t="shared" si="41"/>
        <v>4.1582654521692387E-2</v>
      </c>
      <c r="AA184">
        <f t="shared" si="42"/>
        <v>-2.6338578231935249E-3</v>
      </c>
    </row>
    <row r="185" spans="1:27" x14ac:dyDescent="0.3">
      <c r="A185" s="1">
        <v>44091</v>
      </c>
      <c r="B185">
        <v>389</v>
      </c>
      <c r="C185">
        <v>413.125</v>
      </c>
      <c r="D185">
        <v>413.125</v>
      </c>
      <c r="E185">
        <f t="shared" si="43"/>
        <v>1.0121395174613184</v>
      </c>
      <c r="F185">
        <f t="shared" si="34"/>
        <v>6.0047235753754231</v>
      </c>
      <c r="G185">
        <f t="shared" si="35"/>
        <v>1.2139517461318361E-2</v>
      </c>
      <c r="I185">
        <v>37.349997999999999</v>
      </c>
      <c r="J185">
        <v>37.799999</v>
      </c>
      <c r="K185">
        <v>35.772038000000002</v>
      </c>
      <c r="L185">
        <f t="shared" si="44"/>
        <v>0.99973550579290937</v>
      </c>
      <c r="M185">
        <f t="shared" si="36"/>
        <v>0.56744299135953968</v>
      </c>
      <c r="N185">
        <f t="shared" si="37"/>
        <v>-2.6449420709062643E-4</v>
      </c>
      <c r="P185">
        <f t="shared" si="31"/>
        <v>6.5721665667349631</v>
      </c>
      <c r="Q185">
        <f t="shared" si="45"/>
        <v>1.1056423543776894E-2</v>
      </c>
      <c r="T185">
        <f t="shared" si="32"/>
        <v>0.91365967590784236</v>
      </c>
      <c r="U185">
        <f t="shared" si="33"/>
        <v>8.6340324092157639E-2</v>
      </c>
      <c r="V185">
        <f t="shared" si="38"/>
        <v>1.1056423543776825E-2</v>
      </c>
      <c r="W185">
        <f t="shared" si="39"/>
        <v>6.9388939039072284E-17</v>
      </c>
      <c r="Y185">
        <f t="shared" si="40"/>
        <v>1.2066424467098926E-2</v>
      </c>
      <c r="Z185">
        <f t="shared" si="41"/>
        <v>-2.645291918523992E-4</v>
      </c>
      <c r="AA185">
        <f t="shared" si="42"/>
        <v>1.099574811879599E-2</v>
      </c>
    </row>
    <row r="186" spans="1:27" x14ac:dyDescent="0.3">
      <c r="A186" s="1">
        <v>44092</v>
      </c>
      <c r="B186">
        <v>419.79998799999998</v>
      </c>
      <c r="C186">
        <v>438.73001099999999</v>
      </c>
      <c r="D186">
        <v>438.73001099999999</v>
      </c>
      <c r="E186">
        <f t="shared" si="43"/>
        <v>1.0619788465960665</v>
      </c>
      <c r="F186">
        <f t="shared" si="34"/>
        <v>6.3768894167054002</v>
      </c>
      <c r="G186">
        <f t="shared" si="35"/>
        <v>6.197884659606645E-2</v>
      </c>
      <c r="I186">
        <v>37.529998999999997</v>
      </c>
      <c r="J186">
        <v>37.189999</v>
      </c>
      <c r="K186">
        <v>35.194766999999999</v>
      </c>
      <c r="L186">
        <f t="shared" si="44"/>
        <v>0.98386250735840086</v>
      </c>
      <c r="M186">
        <f t="shared" si="36"/>
        <v>0.55828588426194814</v>
      </c>
      <c r="N186">
        <f t="shared" si="37"/>
        <v>-1.6137492641599138E-2</v>
      </c>
      <c r="P186">
        <f t="shared" si="31"/>
        <v>6.935175300967348</v>
      </c>
      <c r="Q186">
        <f t="shared" si="45"/>
        <v>5.523425654939329E-2</v>
      </c>
      <c r="T186">
        <f t="shared" si="32"/>
        <v>0.91949938393279318</v>
      </c>
      <c r="U186">
        <f t="shared" si="33"/>
        <v>8.0500616067206848E-2</v>
      </c>
      <c r="V186">
        <f t="shared" si="38"/>
        <v>5.5234256549393471E-2</v>
      </c>
      <c r="W186">
        <f t="shared" si="39"/>
        <v>1.8041124150158794E-16</v>
      </c>
      <c r="Y186">
        <f t="shared" si="40"/>
        <v>6.0134004161924159E-2</v>
      </c>
      <c r="Z186">
        <f t="shared" si="41"/>
        <v>-1.6269119987099259E-2</v>
      </c>
      <c r="AA186">
        <f t="shared" si="42"/>
        <v>5.376278640252987E-2</v>
      </c>
    </row>
    <row r="187" spans="1:27" x14ac:dyDescent="0.3">
      <c r="A187" s="1">
        <v>44095</v>
      </c>
      <c r="B187">
        <v>434</v>
      </c>
      <c r="C187">
        <v>468.47000100000002</v>
      </c>
      <c r="D187">
        <v>468.47000100000002</v>
      </c>
      <c r="E187">
        <f t="shared" si="43"/>
        <v>1.0677865412767489</v>
      </c>
      <c r="F187">
        <f t="shared" si="34"/>
        <v>6.8091566943681636</v>
      </c>
      <c r="G187">
        <f t="shared" si="35"/>
        <v>6.778654127674888E-2</v>
      </c>
      <c r="I187">
        <v>36.43</v>
      </c>
      <c r="J187">
        <v>36.43</v>
      </c>
      <c r="K187">
        <v>34.475535999999998</v>
      </c>
      <c r="L187">
        <f t="shared" si="44"/>
        <v>0.97956426306217625</v>
      </c>
      <c r="M187">
        <f t="shared" si="36"/>
        <v>0.54687690079507068</v>
      </c>
      <c r="N187">
        <f t="shared" si="37"/>
        <v>-2.0435736937823745E-2</v>
      </c>
      <c r="P187">
        <f t="shared" si="31"/>
        <v>7.3560335951632343</v>
      </c>
      <c r="Q187">
        <f t="shared" si="45"/>
        <v>6.0684593529623188E-2</v>
      </c>
      <c r="T187">
        <f t="shared" si="32"/>
        <v>0.92565600826583294</v>
      </c>
      <c r="U187">
        <f t="shared" si="33"/>
        <v>7.4343991734167059E-2</v>
      </c>
      <c r="V187">
        <f t="shared" si="38"/>
        <v>6.0684593529623264E-2</v>
      </c>
      <c r="W187">
        <f t="shared" si="39"/>
        <v>7.6327832942979512E-17</v>
      </c>
      <c r="Y187">
        <f t="shared" si="40"/>
        <v>6.5587852843388958E-2</v>
      </c>
      <c r="Z187">
        <f t="shared" si="41"/>
        <v>-2.0647435722929965E-2</v>
      </c>
      <c r="AA187">
        <f t="shared" si="42"/>
        <v>5.8914542609643898E-2</v>
      </c>
    </row>
    <row r="188" spans="1:27" x14ac:dyDescent="0.3">
      <c r="A188" s="1">
        <v>44096</v>
      </c>
      <c r="B188">
        <v>477</v>
      </c>
      <c r="C188">
        <v>492.60000600000001</v>
      </c>
      <c r="D188">
        <v>492.60000600000001</v>
      </c>
      <c r="E188">
        <f t="shared" si="43"/>
        <v>1.0515081114019935</v>
      </c>
      <c r="F188">
        <f t="shared" si="34"/>
        <v>7.1598834959353086</v>
      </c>
      <c r="G188">
        <f t="shared" si="35"/>
        <v>5.1508111401993517E-2</v>
      </c>
      <c r="I188">
        <v>36.459999000000003</v>
      </c>
      <c r="J188">
        <v>35.529998999999997</v>
      </c>
      <c r="K188">
        <v>33.623824999999997</v>
      </c>
      <c r="L188">
        <f t="shared" si="44"/>
        <v>0.97529520643275858</v>
      </c>
      <c r="M188">
        <f t="shared" si="36"/>
        <v>0.53336641985423572</v>
      </c>
      <c r="N188">
        <f t="shared" si="37"/>
        <v>-2.4704793567241423E-2</v>
      </c>
      <c r="P188">
        <f t="shared" si="31"/>
        <v>7.6932499157895444</v>
      </c>
      <c r="Q188">
        <f t="shared" si="45"/>
        <v>4.58421398249238E-2</v>
      </c>
      <c r="T188">
        <f t="shared" si="32"/>
        <v>0.93067085747993705</v>
      </c>
      <c r="U188">
        <f t="shared" si="33"/>
        <v>6.9329142520062961E-2</v>
      </c>
      <c r="V188">
        <f t="shared" si="38"/>
        <v>4.5842139824923855E-2</v>
      </c>
      <c r="W188">
        <f t="shared" si="39"/>
        <v>5.5511151231257827E-17</v>
      </c>
      <c r="Y188">
        <f t="shared" si="40"/>
        <v>5.0225430255441475E-2</v>
      </c>
      <c r="Z188">
        <f t="shared" si="41"/>
        <v>-2.5015077983170649E-2</v>
      </c>
      <c r="AA188">
        <f t="shared" si="42"/>
        <v>4.4822436304067889E-2</v>
      </c>
    </row>
    <row r="189" spans="1:27" x14ac:dyDescent="0.3">
      <c r="A189" s="1">
        <v>44097</v>
      </c>
      <c r="B189">
        <v>489.48998999999998</v>
      </c>
      <c r="C189">
        <v>500.52999899999998</v>
      </c>
      <c r="D189">
        <v>500.52999899999998</v>
      </c>
      <c r="E189">
        <f t="shared" si="43"/>
        <v>1.0160982397551981</v>
      </c>
      <c r="F189">
        <f t="shared" si="34"/>
        <v>7.2751450170721608</v>
      </c>
      <c r="G189">
        <f t="shared" si="35"/>
        <v>1.6098239755198085E-2</v>
      </c>
      <c r="I189">
        <v>35.650002000000001</v>
      </c>
      <c r="J189">
        <v>34.389999000000003</v>
      </c>
      <c r="K189">
        <v>32.544983000000002</v>
      </c>
      <c r="L189">
        <f t="shared" si="44"/>
        <v>0.96791435834560779</v>
      </c>
      <c r="M189">
        <f t="shared" si="36"/>
        <v>0.51625301603630658</v>
      </c>
      <c r="N189">
        <f t="shared" si="37"/>
        <v>-3.2085641654392205E-2</v>
      </c>
      <c r="P189">
        <f t="shared" si="31"/>
        <v>7.7913980331084671</v>
      </c>
      <c r="Q189">
        <f t="shared" si="45"/>
        <v>1.2757692573782675E-2</v>
      </c>
      <c r="T189">
        <f t="shared" si="32"/>
        <v>0.93374064399706436</v>
      </c>
      <c r="U189">
        <f t="shared" si="33"/>
        <v>6.6259356002935657E-2</v>
      </c>
      <c r="V189">
        <f t="shared" si="38"/>
        <v>1.2757692573782788E-2</v>
      </c>
      <c r="W189">
        <f t="shared" si="39"/>
        <v>1.1275702593849246E-16</v>
      </c>
      <c r="Y189">
        <f t="shared" si="40"/>
        <v>1.5970037154294077E-2</v>
      </c>
      <c r="Z189">
        <f t="shared" si="41"/>
        <v>-3.2611668402970619E-2</v>
      </c>
      <c r="AA189">
        <f t="shared" si="42"/>
        <v>1.2676998800063007E-2</v>
      </c>
    </row>
    <row r="190" spans="1:27" x14ac:dyDescent="0.3">
      <c r="A190" s="1">
        <v>44098</v>
      </c>
      <c r="B190">
        <v>487.01001000000002</v>
      </c>
      <c r="C190">
        <v>464.98001099999999</v>
      </c>
      <c r="D190">
        <v>464.98001099999999</v>
      </c>
      <c r="E190">
        <f t="shared" si="43"/>
        <v>0.92897531002931955</v>
      </c>
      <c r="F190">
        <f t="shared" si="34"/>
        <v>6.7584300977428695</v>
      </c>
      <c r="G190">
        <f t="shared" si="35"/>
        <v>-7.1024689970680455E-2</v>
      </c>
      <c r="I190">
        <v>34.400002000000001</v>
      </c>
      <c r="J190">
        <v>34.32</v>
      </c>
      <c r="K190">
        <v>32.478740999999999</v>
      </c>
      <c r="L190">
        <f t="shared" si="44"/>
        <v>0.99796460179438407</v>
      </c>
      <c r="M190">
        <f t="shared" si="36"/>
        <v>0.5152022355738225</v>
      </c>
      <c r="N190">
        <f t="shared" si="37"/>
        <v>-2.0353982056159348E-3</v>
      </c>
      <c r="P190">
        <f t="shared" si="31"/>
        <v>7.2736323333166917</v>
      </c>
      <c r="Q190">
        <f t="shared" si="45"/>
        <v>-6.6453503927228708E-2</v>
      </c>
      <c r="T190">
        <f t="shared" si="32"/>
        <v>0.92916850729257361</v>
      </c>
      <c r="U190">
        <f t="shared" si="33"/>
        <v>7.0831492707426447E-2</v>
      </c>
      <c r="V190">
        <f t="shared" si="38"/>
        <v>-6.6453503927228652E-2</v>
      </c>
      <c r="W190">
        <f t="shared" si="39"/>
        <v>5.5511151231257827E-17</v>
      </c>
      <c r="Y190">
        <f t="shared" si="40"/>
        <v>-7.3673117454389078E-2</v>
      </c>
      <c r="Z190">
        <f t="shared" si="41"/>
        <v>-2.0374724436217789E-3</v>
      </c>
      <c r="AA190">
        <f t="shared" si="42"/>
        <v>-6.8764508914270883E-2</v>
      </c>
    </row>
    <row r="191" spans="1:27" x14ac:dyDescent="0.3">
      <c r="A191" s="1">
        <v>44099</v>
      </c>
      <c r="B191">
        <v>474.86999500000002</v>
      </c>
      <c r="C191">
        <v>496.5</v>
      </c>
      <c r="D191">
        <v>496.5</v>
      </c>
      <c r="E191">
        <f t="shared" si="43"/>
        <v>1.0677878365829365</v>
      </c>
      <c r="F191">
        <f t="shared" si="34"/>
        <v>7.2165694527658628</v>
      </c>
      <c r="G191">
        <f t="shared" si="35"/>
        <v>6.7787836582936523E-2</v>
      </c>
      <c r="I191">
        <v>34</v>
      </c>
      <c r="J191">
        <v>34.639999000000003</v>
      </c>
      <c r="K191">
        <v>32.781573999999999</v>
      </c>
      <c r="L191">
        <f t="shared" si="44"/>
        <v>1.0093240375296566</v>
      </c>
      <c r="M191">
        <f t="shared" si="36"/>
        <v>0.52000600055367585</v>
      </c>
      <c r="N191">
        <f t="shared" si="37"/>
        <v>9.3240375296566036E-3</v>
      </c>
      <c r="P191">
        <f t="shared" si="31"/>
        <v>7.7365754533195386</v>
      </c>
      <c r="Q191">
        <f t="shared" si="45"/>
        <v>6.36467584266458E-2</v>
      </c>
      <c r="T191">
        <f t="shared" si="32"/>
        <v>0.93278602352019246</v>
      </c>
      <c r="U191">
        <f t="shared" si="33"/>
        <v>6.721397647980755E-2</v>
      </c>
      <c r="V191">
        <f t="shared" si="38"/>
        <v>6.3646758426645675E-2</v>
      </c>
      <c r="W191">
        <f t="shared" si="39"/>
        <v>1.2490009027033011E-16</v>
      </c>
      <c r="Y191">
        <f t="shared" si="40"/>
        <v>6.5589065918616948E-2</v>
      </c>
      <c r="Z191">
        <f t="shared" si="41"/>
        <v>9.2808370195595121E-3</v>
      </c>
      <c r="AA191">
        <f t="shared" si="42"/>
        <v>6.1703341837338076E-2</v>
      </c>
    </row>
    <row r="192" spans="1:27" x14ac:dyDescent="0.3">
      <c r="A192" s="1">
        <v>44102</v>
      </c>
      <c r="B192">
        <v>502.41000400000001</v>
      </c>
      <c r="C192">
        <v>487.66000400000001</v>
      </c>
      <c r="D192">
        <v>487.66000400000001</v>
      </c>
      <c r="E192">
        <f t="shared" si="43"/>
        <v>0.98219537562940584</v>
      </c>
      <c r="F192">
        <f t="shared" si="34"/>
        <v>7.088081144415062</v>
      </c>
      <c r="G192">
        <f t="shared" si="35"/>
        <v>-1.7804624370594158E-2</v>
      </c>
      <c r="I192">
        <v>35.139999000000003</v>
      </c>
      <c r="J192">
        <v>35.310001</v>
      </c>
      <c r="K192">
        <v>33.415627000000001</v>
      </c>
      <c r="L192">
        <f t="shared" si="44"/>
        <v>1.0193417497280637</v>
      </c>
      <c r="M192">
        <f t="shared" si="36"/>
        <v>0.53006382647347638</v>
      </c>
      <c r="N192">
        <f t="shared" si="37"/>
        <v>1.9341749728063684E-2</v>
      </c>
      <c r="P192">
        <f t="shared" si="31"/>
        <v>7.6181449708885385</v>
      </c>
      <c r="Q192">
        <f t="shared" si="45"/>
        <v>-1.5307868855616857E-2</v>
      </c>
      <c r="T192">
        <f t="shared" si="32"/>
        <v>0.93042087955807795</v>
      </c>
      <c r="U192">
        <f t="shared" si="33"/>
        <v>6.9579120441922049E-2</v>
      </c>
      <c r="V192">
        <f t="shared" si="38"/>
        <v>-1.5307868855616838E-2</v>
      </c>
      <c r="W192">
        <f t="shared" si="39"/>
        <v>1.9081958235744878E-17</v>
      </c>
      <c r="Y192">
        <f t="shared" si="40"/>
        <v>-1.7965033564205587E-2</v>
      </c>
      <c r="Z192">
        <f t="shared" si="41"/>
        <v>1.9157075568634427E-2</v>
      </c>
      <c r="AA192">
        <f t="shared" si="42"/>
        <v>-1.542624388005885E-2</v>
      </c>
    </row>
    <row r="193" spans="1:27" x14ac:dyDescent="0.3">
      <c r="A193" s="1">
        <v>44103</v>
      </c>
      <c r="B193">
        <v>488.13000499999998</v>
      </c>
      <c r="C193">
        <v>465.5</v>
      </c>
      <c r="D193">
        <v>465.5</v>
      </c>
      <c r="E193">
        <f t="shared" si="43"/>
        <v>0.954558496045946</v>
      </c>
      <c r="F193">
        <f t="shared" si="34"/>
        <v>6.7659880770644696</v>
      </c>
      <c r="G193">
        <f t="shared" si="35"/>
        <v>-4.5441503954053997E-2</v>
      </c>
      <c r="I193">
        <v>35</v>
      </c>
      <c r="J193">
        <v>34.279998999999997</v>
      </c>
      <c r="K193">
        <v>32.440883999999997</v>
      </c>
      <c r="L193">
        <f t="shared" si="44"/>
        <v>0.97082972586448835</v>
      </c>
      <c r="M193">
        <f t="shared" si="36"/>
        <v>0.5146017193459268</v>
      </c>
      <c r="N193">
        <f t="shared" si="37"/>
        <v>-2.9170274135511653E-2</v>
      </c>
      <c r="P193">
        <f t="shared" si="31"/>
        <v>7.2805897964103963</v>
      </c>
      <c r="Q193">
        <f t="shared" si="45"/>
        <v>-4.430936609477143E-2</v>
      </c>
      <c r="T193">
        <f t="shared" si="32"/>
        <v>0.92931867695668768</v>
      </c>
      <c r="U193">
        <f t="shared" si="33"/>
        <v>7.068132304331233E-2</v>
      </c>
      <c r="V193">
        <f t="shared" si="38"/>
        <v>-4.4309366094771444E-2</v>
      </c>
      <c r="W193">
        <f t="shared" si="39"/>
        <v>1.3877787807814457E-17</v>
      </c>
      <c r="Y193">
        <f t="shared" si="40"/>
        <v>-4.6506353203899911E-2</v>
      </c>
      <c r="Z193">
        <f t="shared" si="41"/>
        <v>-2.9604185630931843E-2</v>
      </c>
      <c r="AA193">
        <f t="shared" si="42"/>
        <v>-4.532102300367969E-2</v>
      </c>
    </row>
    <row r="194" spans="1:27" x14ac:dyDescent="0.3">
      <c r="A194" s="1">
        <v>44104</v>
      </c>
      <c r="B194">
        <v>464.209991</v>
      </c>
      <c r="C194">
        <v>470.10998499999999</v>
      </c>
      <c r="D194">
        <v>470.10998499999999</v>
      </c>
      <c r="E194">
        <f t="shared" si="43"/>
        <v>1.0099032975295381</v>
      </c>
      <c r="F194">
        <f t="shared" si="34"/>
        <v>6.8329936700729466</v>
      </c>
      <c r="G194">
        <f t="shared" si="35"/>
        <v>9.9032975295381132E-3</v>
      </c>
      <c r="I194">
        <v>34.639999000000003</v>
      </c>
      <c r="J194">
        <v>34.330002</v>
      </c>
      <c r="K194">
        <v>32.488205000000001</v>
      </c>
      <c r="L194">
        <f t="shared" si="44"/>
        <v>1.0014586840481907</v>
      </c>
      <c r="M194">
        <f t="shared" si="36"/>
        <v>0.51535236066510826</v>
      </c>
      <c r="N194">
        <f t="shared" si="37"/>
        <v>1.4586840481907171E-3</v>
      </c>
      <c r="P194">
        <f t="shared" si="31"/>
        <v>7.348346030738055</v>
      </c>
      <c r="Q194">
        <f t="shared" si="45"/>
        <v>9.3064210760871457E-3</v>
      </c>
      <c r="T194">
        <f t="shared" si="32"/>
        <v>0.92986825082686708</v>
      </c>
      <c r="U194">
        <f t="shared" si="33"/>
        <v>7.0131749173132932E-2</v>
      </c>
      <c r="V194">
        <f t="shared" si="38"/>
        <v>9.3064210760870868E-3</v>
      </c>
      <c r="W194">
        <f t="shared" si="39"/>
        <v>5.8980598183211441E-17</v>
      </c>
      <c r="Y194">
        <f t="shared" si="40"/>
        <v>9.8545812490617481E-3</v>
      </c>
      <c r="Z194">
        <f t="shared" si="41"/>
        <v>1.4576212020600849E-3</v>
      </c>
      <c r="AA194">
        <f t="shared" si="42"/>
        <v>9.2633831527610573E-3</v>
      </c>
    </row>
    <row r="195" spans="1:27" x14ac:dyDescent="0.3">
      <c r="A195" s="1">
        <v>44105</v>
      </c>
      <c r="B195">
        <v>477</v>
      </c>
      <c r="C195">
        <v>482.98998999999998</v>
      </c>
      <c r="D195">
        <v>482.98998999999998</v>
      </c>
      <c r="E195">
        <f t="shared" si="43"/>
        <v>1.0273978545680114</v>
      </c>
      <c r="F195">
        <f t="shared" si="34"/>
        <v>7.0202030369097477</v>
      </c>
      <c r="G195">
        <f t="shared" si="35"/>
        <v>2.7397854568011359E-2</v>
      </c>
      <c r="I195">
        <v>33.790000999999997</v>
      </c>
      <c r="J195">
        <v>33.130001</v>
      </c>
      <c r="K195">
        <v>31.352582999999999</v>
      </c>
      <c r="L195">
        <f t="shared" si="44"/>
        <v>0.96504509867504218</v>
      </c>
      <c r="M195">
        <f t="shared" si="36"/>
        <v>0.49733826975047535</v>
      </c>
      <c r="N195">
        <f t="shared" si="37"/>
        <v>-3.4954901324957821E-2</v>
      </c>
      <c r="P195">
        <f t="shared" si="31"/>
        <v>7.517541306660223</v>
      </c>
      <c r="Q195">
        <f t="shared" si="45"/>
        <v>2.302494673147204E-2</v>
      </c>
      <c r="T195">
        <f t="shared" si="32"/>
        <v>0.93384296148664259</v>
      </c>
      <c r="U195">
        <f t="shared" si="33"/>
        <v>6.6157038513357386E-2</v>
      </c>
      <c r="V195">
        <f t="shared" si="38"/>
        <v>2.3024946731472061E-2</v>
      </c>
      <c r="W195">
        <f t="shared" si="39"/>
        <v>2.0816681711721685E-17</v>
      </c>
      <c r="Y195">
        <f t="shared" si="40"/>
        <v>2.7029250833949733E-2</v>
      </c>
      <c r="Z195">
        <f t="shared" si="41"/>
        <v>-3.5580444356886107E-2</v>
      </c>
      <c r="AA195">
        <f t="shared" si="42"/>
        <v>2.2763872528925672E-2</v>
      </c>
    </row>
    <row r="196" spans="1:27" x14ac:dyDescent="0.3">
      <c r="A196" s="1">
        <v>44106</v>
      </c>
      <c r="B196">
        <v>485.00500499999998</v>
      </c>
      <c r="C196">
        <v>482.23001099999999</v>
      </c>
      <c r="D196">
        <v>482.23001099999999</v>
      </c>
      <c r="E196">
        <f t="shared" si="43"/>
        <v>0.99842651190348686</v>
      </c>
      <c r="F196">
        <f t="shared" si="34"/>
        <v>7.0091568309960648</v>
      </c>
      <c r="G196">
        <f t="shared" si="35"/>
        <v>-1.5734880965131426E-3</v>
      </c>
      <c r="I196">
        <v>32.25</v>
      </c>
      <c r="J196">
        <v>32.979999999999997</v>
      </c>
      <c r="K196">
        <v>31.210629999999998</v>
      </c>
      <c r="L196">
        <f t="shared" si="44"/>
        <v>0.9954723666627403</v>
      </c>
      <c r="M196">
        <f t="shared" si="36"/>
        <v>0.49508650442045804</v>
      </c>
      <c r="N196">
        <f t="shared" si="37"/>
        <v>-4.5276333372596955E-3</v>
      </c>
      <c r="P196">
        <f t="shared" si="31"/>
        <v>7.5042433354165228</v>
      </c>
      <c r="Q196">
        <f t="shared" si="45"/>
        <v>-1.7689255969792761E-3</v>
      </c>
      <c r="T196">
        <f t="shared" si="32"/>
        <v>0.93402579283591713</v>
      </c>
      <c r="U196">
        <f t="shared" si="33"/>
        <v>6.5974207164082893E-2</v>
      </c>
      <c r="V196">
        <f t="shared" si="38"/>
        <v>-1.7689255969792637E-3</v>
      </c>
      <c r="W196">
        <f t="shared" si="39"/>
        <v>1.2359904766334751E-17</v>
      </c>
      <c r="Y196">
        <f t="shared" si="40"/>
        <v>-1.5747273290237435E-3</v>
      </c>
      <c r="Z196">
        <f t="shared" si="41"/>
        <v>-4.5379141125353184E-3</v>
      </c>
      <c r="AA196">
        <f t="shared" si="42"/>
        <v>-1.7704919933614282E-3</v>
      </c>
    </row>
    <row r="197" spans="1:27" x14ac:dyDescent="0.3">
      <c r="A197" s="1">
        <v>44109</v>
      </c>
      <c r="B197">
        <v>493.97000100000002</v>
      </c>
      <c r="C197">
        <v>485.36999500000002</v>
      </c>
      <c r="D197">
        <v>485.36999500000002</v>
      </c>
      <c r="E197">
        <f t="shared" si="43"/>
        <v>1.0065113823867757</v>
      </c>
      <c r="F197">
        <f t="shared" si="34"/>
        <v>7.0547961313315612</v>
      </c>
      <c r="G197">
        <f t="shared" si="35"/>
        <v>6.5113823867757326E-3</v>
      </c>
      <c r="I197">
        <v>33.32</v>
      </c>
      <c r="J197">
        <v>33.740001999999997</v>
      </c>
      <c r="K197">
        <v>31.929859</v>
      </c>
      <c r="L197">
        <f t="shared" si="44"/>
        <v>1.0230443602067629</v>
      </c>
      <c r="M197">
        <f t="shared" si="36"/>
        <v>0.50649545616183023</v>
      </c>
      <c r="N197">
        <f t="shared" si="37"/>
        <v>2.3044360206762926E-2</v>
      </c>
      <c r="P197">
        <f t="shared" si="31"/>
        <v>7.5612915874933915</v>
      </c>
      <c r="Q197">
        <f t="shared" si="45"/>
        <v>7.6021324905106713E-3</v>
      </c>
      <c r="T197">
        <f t="shared" si="32"/>
        <v>0.9330146906383574</v>
      </c>
      <c r="U197">
        <f t="shared" si="33"/>
        <v>6.6985309361642556E-2</v>
      </c>
      <c r="V197">
        <f t="shared" si="38"/>
        <v>7.6021324905107563E-3</v>
      </c>
      <c r="W197">
        <f t="shared" si="39"/>
        <v>8.5001450322863548E-17</v>
      </c>
      <c r="Y197">
        <f t="shared" si="40"/>
        <v>6.4902749128260629E-3</v>
      </c>
      <c r="Z197">
        <f t="shared" si="41"/>
        <v>2.2782848890308578E-2</v>
      </c>
      <c r="AA197">
        <f t="shared" si="42"/>
        <v>7.5733818999048821E-3</v>
      </c>
    </row>
    <row r="198" spans="1:27" x14ac:dyDescent="0.3">
      <c r="A198" s="1">
        <v>44110</v>
      </c>
      <c r="B198">
        <v>480.51001000000002</v>
      </c>
      <c r="C198">
        <v>478.25</v>
      </c>
      <c r="D198">
        <v>478.25</v>
      </c>
      <c r="E198">
        <f t="shared" si="43"/>
        <v>0.9853307887315943</v>
      </c>
      <c r="F198">
        <f t="shared" si="34"/>
        <v>6.951307836425527</v>
      </c>
      <c r="G198">
        <f t="shared" si="35"/>
        <v>-1.4669211268405702E-2</v>
      </c>
      <c r="I198">
        <v>34.119999</v>
      </c>
      <c r="J198">
        <v>33.389999000000003</v>
      </c>
      <c r="K198">
        <v>31.598633</v>
      </c>
      <c r="L198">
        <f t="shared" si="44"/>
        <v>0.98962644965015345</v>
      </c>
      <c r="M198">
        <f t="shared" si="36"/>
        <v>0.50124130004536693</v>
      </c>
      <c r="N198">
        <f t="shared" si="37"/>
        <v>-1.037355034984655E-2</v>
      </c>
      <c r="P198">
        <f t="shared" ref="P198:P257" si="46">F198+M198</f>
        <v>7.4525491364708936</v>
      </c>
      <c r="Q198">
        <f t="shared" si="45"/>
        <v>-1.4381465092863421E-2</v>
      </c>
      <c r="T198">
        <f t="shared" ref="T198:T229" si="47">F198/P198</f>
        <v>0.93274230187998119</v>
      </c>
      <c r="U198">
        <f t="shared" ref="U198:U229" si="48">M198/P198</f>
        <v>6.7257698120018902E-2</v>
      </c>
      <c r="V198">
        <f t="shared" si="38"/>
        <v>-1.43814650928633E-2</v>
      </c>
      <c r="W198">
        <f t="shared" si="39"/>
        <v>1.214306433183765E-16</v>
      </c>
      <c r="Y198">
        <f t="shared" si="40"/>
        <v>-1.4777868063573224E-2</v>
      </c>
      <c r="Z198">
        <f t="shared" si="41"/>
        <v>-1.0427730643661167E-2</v>
      </c>
      <c r="AA198">
        <f t="shared" si="42"/>
        <v>-1.448588067035562E-2</v>
      </c>
    </row>
    <row r="199" spans="1:27" x14ac:dyDescent="0.3">
      <c r="A199" s="1">
        <v>44111</v>
      </c>
      <c r="B199">
        <v>482.5</v>
      </c>
      <c r="C199">
        <v>480.60998499999999</v>
      </c>
      <c r="D199">
        <v>480.60998499999999</v>
      </c>
      <c r="E199">
        <f t="shared" si="43"/>
        <v>1.0049346262415055</v>
      </c>
      <c r="F199">
        <f t="shared" ref="F199:F257" si="49">F198*E199</f>
        <v>6.9856099424879359</v>
      </c>
      <c r="G199">
        <f t="shared" ref="G199:G257" si="50">E199-1</f>
        <v>4.9346262415055353E-3</v>
      </c>
      <c r="I199">
        <v>33.639999000000003</v>
      </c>
      <c r="J199">
        <v>33.5</v>
      </c>
      <c r="K199">
        <v>31.702732000000001</v>
      </c>
      <c r="L199">
        <f t="shared" si="44"/>
        <v>1.0032944146666092</v>
      </c>
      <c r="M199">
        <f t="shared" ref="M199:M257" si="51">M198*L199</f>
        <v>0.5028925967357466</v>
      </c>
      <c r="N199">
        <f t="shared" ref="N199:N257" si="52">L199-1</f>
        <v>3.29441466660918E-3</v>
      </c>
      <c r="P199">
        <f t="shared" si="46"/>
        <v>7.4885025392236821</v>
      </c>
      <c r="Q199">
        <f t="shared" si="45"/>
        <v>4.82430938654832E-3</v>
      </c>
      <c r="T199">
        <f t="shared" si="47"/>
        <v>0.93284470505262318</v>
      </c>
      <c r="U199">
        <f t="shared" si="48"/>
        <v>6.715529494737682E-2</v>
      </c>
      <c r="V199">
        <f t="shared" ref="V199:V257" si="53">T198*G199+U198*N199</f>
        <v>4.8243093865481959E-3</v>
      </c>
      <c r="W199">
        <f t="shared" ref="W199:W256" si="54">ABS(V199-Q199)</f>
        <v>1.2403272853234171E-16</v>
      </c>
      <c r="Y199">
        <f t="shared" ref="Y199:Y257" si="55">LN(1+G199)</f>
        <v>4.9224908793777207E-3</v>
      </c>
      <c r="Z199">
        <f t="shared" ref="Z199:Z257" si="56">LN(1+N199)</f>
        <v>3.2889999715195874E-3</v>
      </c>
      <c r="AA199">
        <f t="shared" ref="AA199:AA257" si="57">LN(1+Q199)</f>
        <v>4.8127096980505827E-3</v>
      </c>
    </row>
    <row r="200" spans="1:27" x14ac:dyDescent="0.3">
      <c r="A200" s="1">
        <v>44112</v>
      </c>
      <c r="B200">
        <v>484</v>
      </c>
      <c r="C200">
        <v>478.54998799999998</v>
      </c>
      <c r="D200">
        <v>478.54998799999998</v>
      </c>
      <c r="E200">
        <f t="shared" ref="E200:E257" si="58">D200/D199</f>
        <v>0.99571378651236297</v>
      </c>
      <c r="F200">
        <f t="shared" si="49"/>
        <v>6.9556681269330731</v>
      </c>
      <c r="G200">
        <f t="shared" si="50"/>
        <v>-4.286213487637025E-3</v>
      </c>
      <c r="I200">
        <v>33.880001</v>
      </c>
      <c r="J200">
        <v>35.259998000000003</v>
      </c>
      <c r="K200">
        <v>33.368309000000004</v>
      </c>
      <c r="L200">
        <f t="shared" ref="L200:L257" si="59">K200/K199</f>
        <v>1.052537333375559</v>
      </c>
      <c r="M200">
        <f t="shared" si="51"/>
        <v>0.52931323274255304</v>
      </c>
      <c r="N200">
        <f t="shared" si="52"/>
        <v>5.2537333375558992E-2</v>
      </c>
      <c r="P200">
        <f t="shared" si="46"/>
        <v>7.4849813596756265</v>
      </c>
      <c r="Q200">
        <f t="shared" ref="Q200:Q257" si="60">(P200/P199)-1</f>
        <v>-4.7021143808290145E-4</v>
      </c>
      <c r="T200">
        <f t="shared" si="47"/>
        <v>0.92928329312960478</v>
      </c>
      <c r="U200">
        <f t="shared" si="48"/>
        <v>7.0716706870395149E-2</v>
      </c>
      <c r="V200">
        <f t="shared" si="53"/>
        <v>-4.702114380830077E-4</v>
      </c>
      <c r="W200">
        <f t="shared" si="54"/>
        <v>1.0625181290357943E-16</v>
      </c>
      <c r="Y200">
        <f t="shared" si="55"/>
        <v>-4.2954256335744961E-3</v>
      </c>
      <c r="Z200">
        <f t="shared" si="56"/>
        <v>5.1203757085987026E-2</v>
      </c>
      <c r="AA200">
        <f t="shared" si="57"/>
        <v>-4.7032202214777354E-4</v>
      </c>
    </row>
    <row r="201" spans="1:27" x14ac:dyDescent="0.3">
      <c r="A201" s="1">
        <v>44113</v>
      </c>
      <c r="B201">
        <v>487.98998999999998</v>
      </c>
      <c r="C201">
        <v>492.41000400000001</v>
      </c>
      <c r="D201">
        <v>492.41000400000001</v>
      </c>
      <c r="E201">
        <f t="shared" si="58"/>
        <v>1.0289625250183896</v>
      </c>
      <c r="F201">
        <f t="shared" si="49"/>
        <v>7.1571218390789877</v>
      </c>
      <c r="G201">
        <f t="shared" si="50"/>
        <v>2.8962525018389584E-2</v>
      </c>
      <c r="I201">
        <v>35.68</v>
      </c>
      <c r="J201">
        <v>34.740001999999997</v>
      </c>
      <c r="K201">
        <v>32.876209000000003</v>
      </c>
      <c r="L201">
        <f t="shared" si="59"/>
        <v>0.98525247413646277</v>
      </c>
      <c r="M201">
        <f t="shared" si="51"/>
        <v>0.52150717215276976</v>
      </c>
      <c r="N201">
        <f t="shared" si="52"/>
        <v>-1.4747525863537225E-2</v>
      </c>
      <c r="P201">
        <f t="shared" si="46"/>
        <v>7.6786290112317577</v>
      </c>
      <c r="Q201">
        <f t="shared" si="60"/>
        <v>2.5871494162882369E-2</v>
      </c>
      <c r="T201">
        <f t="shared" si="47"/>
        <v>0.93208329619910713</v>
      </c>
      <c r="U201">
        <f t="shared" si="48"/>
        <v>6.7916703800892819E-2</v>
      </c>
      <c r="V201">
        <f t="shared" si="53"/>
        <v>2.5871494162882307E-2</v>
      </c>
      <c r="W201">
        <f t="shared" si="54"/>
        <v>6.2450045135165055E-17</v>
      </c>
      <c r="Y201">
        <f t="shared" si="55"/>
        <v>2.8551037353346395E-2</v>
      </c>
      <c r="Z201">
        <f t="shared" si="56"/>
        <v>-1.4857351733863584E-2</v>
      </c>
      <c r="AA201">
        <f t="shared" si="57"/>
        <v>2.5542489550306635E-2</v>
      </c>
    </row>
    <row r="202" spans="1:27" x14ac:dyDescent="0.3">
      <c r="A202" s="1">
        <v>44116</v>
      </c>
      <c r="B202">
        <v>501.42999300000002</v>
      </c>
      <c r="C202">
        <v>491.540009</v>
      </c>
      <c r="D202">
        <v>491.540009</v>
      </c>
      <c r="E202">
        <f t="shared" si="58"/>
        <v>0.99823318983584253</v>
      </c>
      <c r="F202">
        <f t="shared" si="49"/>
        <v>7.1444765634675891</v>
      </c>
      <c r="G202">
        <f t="shared" si="50"/>
        <v>-1.7668101641574729E-3</v>
      </c>
      <c r="I202">
        <v>34.540000999999997</v>
      </c>
      <c r="J202">
        <v>34.630001</v>
      </c>
      <c r="K202">
        <v>32.772109999999998</v>
      </c>
      <c r="L202">
        <f t="shared" si="59"/>
        <v>0.99683360694050815</v>
      </c>
      <c r="M202">
        <f t="shared" si="51"/>
        <v>0.51985587546238998</v>
      </c>
      <c r="N202">
        <f t="shared" si="52"/>
        <v>-3.1663930594918455E-3</v>
      </c>
      <c r="P202">
        <f t="shared" si="46"/>
        <v>7.6643324389299794</v>
      </c>
      <c r="Q202">
        <f t="shared" si="60"/>
        <v>-1.8618652211047637E-3</v>
      </c>
      <c r="T202">
        <f t="shared" si="47"/>
        <v>0.93217206069743919</v>
      </c>
      <c r="U202">
        <f t="shared" si="48"/>
        <v>6.7827939302560744E-2</v>
      </c>
      <c r="V202">
        <f t="shared" si="53"/>
        <v>-1.8618652211046932E-3</v>
      </c>
      <c r="W202">
        <f t="shared" si="54"/>
        <v>7.0473141211557788E-17</v>
      </c>
      <c r="Y202">
        <f t="shared" si="55"/>
        <v>-1.7683728141106936E-3</v>
      </c>
      <c r="Z202">
        <f t="shared" si="56"/>
        <v>-3.171416689322774E-3</v>
      </c>
      <c r="AA202">
        <f t="shared" si="57"/>
        <v>-1.8636006465756459E-3</v>
      </c>
    </row>
    <row r="203" spans="1:27" x14ac:dyDescent="0.3">
      <c r="A203" s="1">
        <v>44117</v>
      </c>
      <c r="B203">
        <v>494</v>
      </c>
      <c r="C203">
        <v>518.78997800000002</v>
      </c>
      <c r="D203">
        <v>518.78997800000002</v>
      </c>
      <c r="E203">
        <f t="shared" si="58"/>
        <v>1.0554379470664819</v>
      </c>
      <c r="F203">
        <f t="shared" si="49"/>
        <v>7.5405516770108258</v>
      </c>
      <c r="G203">
        <f t="shared" si="50"/>
        <v>5.5437947066481863E-2</v>
      </c>
      <c r="I203">
        <v>34.729999999999997</v>
      </c>
      <c r="J203">
        <v>34.220001000000003</v>
      </c>
      <c r="K203">
        <v>32.384106000000003</v>
      </c>
      <c r="L203">
        <f t="shared" si="59"/>
        <v>0.98816054260772357</v>
      </c>
      <c r="M203">
        <f t="shared" si="51"/>
        <v>0.51370106397472848</v>
      </c>
      <c r="N203">
        <f t="shared" si="52"/>
        <v>-1.1839457392276431E-2</v>
      </c>
      <c r="P203">
        <f t="shared" si="46"/>
        <v>8.0542527409855538</v>
      </c>
      <c r="Q203">
        <f t="shared" si="60"/>
        <v>5.0874659360419239E-2</v>
      </c>
      <c r="T203">
        <f t="shared" si="47"/>
        <v>0.93621989767459557</v>
      </c>
      <c r="U203">
        <f t="shared" si="48"/>
        <v>6.3780102325404528E-2</v>
      </c>
      <c r="V203">
        <f t="shared" si="53"/>
        <v>5.0874659360419378E-2</v>
      </c>
      <c r="W203">
        <f t="shared" si="54"/>
        <v>1.3877787807814457E-16</v>
      </c>
      <c r="Y203">
        <f t="shared" si="55"/>
        <v>5.395579649416983E-2</v>
      </c>
      <c r="Z203">
        <f t="shared" si="56"/>
        <v>-1.1910101916809629E-2</v>
      </c>
      <c r="AA203">
        <f t="shared" si="57"/>
        <v>4.9622826324746759E-2</v>
      </c>
    </row>
    <row r="204" spans="1:27" x14ac:dyDescent="0.3">
      <c r="A204" s="1">
        <v>44118</v>
      </c>
      <c r="B204">
        <v>518.78002900000001</v>
      </c>
      <c r="C204">
        <v>509.25</v>
      </c>
      <c r="D204">
        <v>509.25</v>
      </c>
      <c r="E204">
        <f t="shared" si="58"/>
        <v>0.98161109812341052</v>
      </c>
      <c r="F204">
        <f t="shared" si="49"/>
        <v>7.4018892121269211</v>
      </c>
      <c r="G204">
        <f t="shared" si="50"/>
        <v>-1.8388901876589481E-2</v>
      </c>
      <c r="I204">
        <v>34.060001</v>
      </c>
      <c r="J204">
        <v>34.150002000000001</v>
      </c>
      <c r="K204">
        <v>32.317860000000003</v>
      </c>
      <c r="L204">
        <f t="shared" si="59"/>
        <v>0.99795436687367567</v>
      </c>
      <c r="M204">
        <f t="shared" si="51"/>
        <v>0.51265022006123373</v>
      </c>
      <c r="N204">
        <f t="shared" si="52"/>
        <v>-2.045633126324331E-3</v>
      </c>
      <c r="P204">
        <f t="shared" si="46"/>
        <v>7.914539432188155</v>
      </c>
      <c r="Q204">
        <f t="shared" si="60"/>
        <v>-1.734652652336599E-2</v>
      </c>
      <c r="T204">
        <f t="shared" si="47"/>
        <v>0.93522677795042586</v>
      </c>
      <c r="U204">
        <f t="shared" si="48"/>
        <v>6.4773222049574128E-2</v>
      </c>
      <c r="V204">
        <f t="shared" si="53"/>
        <v>-1.7346526523365987E-2</v>
      </c>
      <c r="W204">
        <f t="shared" si="54"/>
        <v>3.4694469519536142E-18</v>
      </c>
      <c r="Y204">
        <f t="shared" si="55"/>
        <v>-1.8560079492655795E-2</v>
      </c>
      <c r="Z204">
        <f t="shared" si="56"/>
        <v>-2.0477282915486272E-3</v>
      </c>
      <c r="AA204">
        <f t="shared" si="57"/>
        <v>-1.7498740336879811E-2</v>
      </c>
    </row>
    <row r="205" spans="1:27" x14ac:dyDescent="0.3">
      <c r="A205" s="1">
        <v>44119</v>
      </c>
      <c r="B205">
        <v>509.07998700000002</v>
      </c>
      <c r="C205">
        <v>536.40002400000003</v>
      </c>
      <c r="D205">
        <v>536.40002400000003</v>
      </c>
      <c r="E205">
        <f t="shared" si="58"/>
        <v>1.0533137437407953</v>
      </c>
      <c r="F205">
        <f t="shared" si="49"/>
        <v>7.7965116367800134</v>
      </c>
      <c r="G205">
        <f t="shared" si="50"/>
        <v>5.3313743740795339E-2</v>
      </c>
      <c r="I205">
        <v>33.700001</v>
      </c>
      <c r="J205">
        <v>34.450001</v>
      </c>
      <c r="K205">
        <v>32.601768</v>
      </c>
      <c r="L205">
        <f t="shared" si="59"/>
        <v>1.0087848638492771</v>
      </c>
      <c r="M205">
        <f t="shared" si="51"/>
        <v>0.51715378244677368</v>
      </c>
      <c r="N205">
        <f t="shared" si="52"/>
        <v>8.7848638492771247E-3</v>
      </c>
      <c r="P205">
        <f t="shared" si="46"/>
        <v>8.3136654192267869</v>
      </c>
      <c r="Q205">
        <f t="shared" si="60"/>
        <v>5.0429464715963102E-2</v>
      </c>
      <c r="T205">
        <f t="shared" si="47"/>
        <v>0.9377947323630843</v>
      </c>
      <c r="U205">
        <f t="shared" si="48"/>
        <v>6.2205267636915751E-2</v>
      </c>
      <c r="V205">
        <f t="shared" si="53"/>
        <v>5.0429464715963213E-2</v>
      </c>
      <c r="W205">
        <f t="shared" si="54"/>
        <v>1.1102230246251565E-16</v>
      </c>
      <c r="Y205">
        <f t="shared" si="55"/>
        <v>5.1941141043336615E-2</v>
      </c>
      <c r="Z205">
        <f t="shared" si="56"/>
        <v>8.746501441494756E-3</v>
      </c>
      <c r="AA205">
        <f t="shared" si="57"/>
        <v>4.9199094561203964E-2</v>
      </c>
    </row>
    <row r="206" spans="1:27" x14ac:dyDescent="0.3">
      <c r="A206" s="1">
        <v>44120</v>
      </c>
      <c r="B206">
        <v>544</v>
      </c>
      <c r="C206">
        <v>559</v>
      </c>
      <c r="D206">
        <v>559</v>
      </c>
      <c r="E206">
        <f t="shared" si="58"/>
        <v>1.0421326901357484</v>
      </c>
      <c r="F206">
        <f t="shared" si="49"/>
        <v>8.1249996457122222</v>
      </c>
      <c r="G206">
        <f t="shared" si="50"/>
        <v>4.2132690135748385E-2</v>
      </c>
      <c r="I206">
        <v>34.369999</v>
      </c>
      <c r="J206">
        <v>34.099997999999999</v>
      </c>
      <c r="K206">
        <v>32.270541999999999</v>
      </c>
      <c r="L206">
        <f t="shared" si="59"/>
        <v>0.98984024424687644</v>
      </c>
      <c r="M206">
        <f t="shared" si="51"/>
        <v>0.5118996263303105</v>
      </c>
      <c r="N206">
        <f t="shared" si="52"/>
        <v>-1.0159755753123556E-2</v>
      </c>
      <c r="P206">
        <f t="shared" si="46"/>
        <v>8.6368992720425322</v>
      </c>
      <c r="Q206">
        <f t="shared" si="60"/>
        <v>3.8879824543842201E-2</v>
      </c>
      <c r="T206">
        <f t="shared" si="47"/>
        <v>0.94073108760370538</v>
      </c>
      <c r="U206">
        <f t="shared" si="48"/>
        <v>5.9268912396294719E-2</v>
      </c>
      <c r="V206">
        <f t="shared" si="53"/>
        <v>3.8879824543842173E-2</v>
      </c>
      <c r="W206">
        <f t="shared" si="54"/>
        <v>2.7755575615628914E-17</v>
      </c>
      <c r="Y206">
        <f t="shared" si="55"/>
        <v>4.1269277004847393E-2</v>
      </c>
      <c r="Z206">
        <f t="shared" si="56"/>
        <v>-1.0211718322551164E-2</v>
      </c>
      <c r="AA206">
        <f t="shared" si="57"/>
        <v>3.8143040888300027E-2</v>
      </c>
    </row>
    <row r="207" spans="1:27" x14ac:dyDescent="0.3">
      <c r="A207" s="1">
        <v>44123</v>
      </c>
      <c r="B207">
        <v>572.5</v>
      </c>
      <c r="C207">
        <v>568.34002699999996</v>
      </c>
      <c r="D207">
        <v>568.34002699999996</v>
      </c>
      <c r="E207">
        <f t="shared" si="58"/>
        <v>1.0167084561717352</v>
      </c>
      <c r="F207">
        <f t="shared" si="49"/>
        <v>8.2607558461879691</v>
      </c>
      <c r="G207">
        <f t="shared" si="50"/>
        <v>1.670845617173522E-2</v>
      </c>
      <c r="I207">
        <v>34.099997999999999</v>
      </c>
      <c r="J207">
        <v>33.419998</v>
      </c>
      <c r="K207">
        <v>31.627023999999999</v>
      </c>
      <c r="L207">
        <f t="shared" si="59"/>
        <v>0.98005865535199255</v>
      </c>
      <c r="M207">
        <f t="shared" si="51"/>
        <v>0.50169165945647154</v>
      </c>
      <c r="N207">
        <f t="shared" si="52"/>
        <v>-1.9941344648007453E-2</v>
      </c>
      <c r="P207">
        <f t="shared" si="46"/>
        <v>8.76244750564444</v>
      </c>
      <c r="Q207">
        <f t="shared" si="60"/>
        <v>1.4536262337608186E-2</v>
      </c>
      <c r="T207">
        <f t="shared" si="47"/>
        <v>0.94274525934297471</v>
      </c>
      <c r="U207">
        <f t="shared" si="48"/>
        <v>5.7254740657025405E-2</v>
      </c>
      <c r="V207">
        <f t="shared" si="53"/>
        <v>1.4536262337608243E-2</v>
      </c>
      <c r="W207">
        <f t="shared" si="54"/>
        <v>5.7245874707234634E-17</v>
      </c>
      <c r="Y207">
        <f t="shared" si="55"/>
        <v>1.6570405537661551E-2</v>
      </c>
      <c r="Z207">
        <f t="shared" si="56"/>
        <v>-2.014285670861048E-2</v>
      </c>
      <c r="AA207">
        <f t="shared" si="57"/>
        <v>1.4431623693828236E-2</v>
      </c>
    </row>
    <row r="208" spans="1:27" x14ac:dyDescent="0.3">
      <c r="A208" s="1">
        <v>44124</v>
      </c>
      <c r="B208">
        <v>572.330017</v>
      </c>
      <c r="C208">
        <v>537.02002000000005</v>
      </c>
      <c r="D208">
        <v>537.02002000000005</v>
      </c>
      <c r="E208">
        <f t="shared" si="58"/>
        <v>0.94489213232908564</v>
      </c>
      <c r="F208">
        <f t="shared" si="49"/>
        <v>7.8055232061545103</v>
      </c>
      <c r="G208">
        <f t="shared" si="50"/>
        <v>-5.5107867670914357E-2</v>
      </c>
      <c r="I208">
        <v>33.659999999999997</v>
      </c>
      <c r="J208">
        <v>33.700001</v>
      </c>
      <c r="K208">
        <v>31.892004</v>
      </c>
      <c r="L208">
        <f t="shared" si="59"/>
        <v>1.0083782780194559</v>
      </c>
      <c r="M208">
        <f t="shared" si="51"/>
        <v>0.50589497165944008</v>
      </c>
      <c r="N208">
        <f t="shared" si="52"/>
        <v>8.3782780194558981E-3</v>
      </c>
      <c r="P208">
        <f t="shared" si="46"/>
        <v>8.31141817781395</v>
      </c>
      <c r="Q208">
        <f t="shared" si="60"/>
        <v>-5.1472984864098015E-2</v>
      </c>
      <c r="T208">
        <f t="shared" si="47"/>
        <v>0.9391325330002227</v>
      </c>
      <c r="U208">
        <f t="shared" si="48"/>
        <v>6.0867466999777339E-2</v>
      </c>
      <c r="V208">
        <f t="shared" si="53"/>
        <v>-5.1472984864098084E-2</v>
      </c>
      <c r="W208">
        <f t="shared" si="54"/>
        <v>6.9388939039072284E-17</v>
      </c>
      <c r="Y208">
        <f t="shared" si="55"/>
        <v>-5.6684503687015872E-2</v>
      </c>
      <c r="Z208">
        <f t="shared" si="56"/>
        <v>8.343375063773242E-3</v>
      </c>
      <c r="AA208">
        <f t="shared" si="57"/>
        <v>-5.2845008056000863E-2</v>
      </c>
    </row>
    <row r="209" spans="1:27" x14ac:dyDescent="0.3">
      <c r="A209" s="1">
        <v>44125</v>
      </c>
      <c r="B209">
        <v>535.88000499999998</v>
      </c>
      <c r="C209">
        <v>513.19000200000005</v>
      </c>
      <c r="D209">
        <v>513.19000200000005</v>
      </c>
      <c r="E209">
        <f t="shared" si="58"/>
        <v>0.95562545694292744</v>
      </c>
      <c r="F209">
        <f t="shared" si="49"/>
        <v>7.459156680560028</v>
      </c>
      <c r="G209">
        <f t="shared" si="50"/>
        <v>-4.4374543057072557E-2</v>
      </c>
      <c r="I209">
        <v>33.509998000000003</v>
      </c>
      <c r="J209">
        <v>33.159999999999997</v>
      </c>
      <c r="K209">
        <v>31.380972</v>
      </c>
      <c r="L209">
        <f t="shared" si="59"/>
        <v>0.98397617158206807</v>
      </c>
      <c r="M209">
        <f t="shared" si="51"/>
        <v>0.49778859743607468</v>
      </c>
      <c r="N209">
        <f t="shared" si="52"/>
        <v>-1.6023828417931929E-2</v>
      </c>
      <c r="P209">
        <f t="shared" si="46"/>
        <v>7.9569452779961027</v>
      </c>
      <c r="Q209">
        <f t="shared" si="60"/>
        <v>-4.2648906869354519E-2</v>
      </c>
      <c r="T209">
        <f t="shared" si="47"/>
        <v>0.93743973597347163</v>
      </c>
      <c r="U209">
        <f t="shared" si="48"/>
        <v>6.2560264026528409E-2</v>
      </c>
      <c r="V209">
        <f t="shared" si="53"/>
        <v>-4.2648906869354568E-2</v>
      </c>
      <c r="W209">
        <f t="shared" si="54"/>
        <v>4.8572257327350599E-17</v>
      </c>
      <c r="Y209">
        <f t="shared" si="55"/>
        <v>-4.5389224137587864E-2</v>
      </c>
      <c r="Z209">
        <f t="shared" si="56"/>
        <v>-1.6153598094974631E-2</v>
      </c>
      <c r="AA209">
        <f t="shared" si="57"/>
        <v>-4.3585086333893422E-2</v>
      </c>
    </row>
    <row r="210" spans="1:27" x14ac:dyDescent="0.3">
      <c r="A210" s="1">
        <v>44126</v>
      </c>
      <c r="B210">
        <v>521.78002900000001</v>
      </c>
      <c r="C210">
        <v>520.53997800000002</v>
      </c>
      <c r="D210">
        <v>520.53997800000002</v>
      </c>
      <c r="E210">
        <f t="shared" si="58"/>
        <v>1.0143221340465631</v>
      </c>
      <c r="F210">
        <f t="shared" si="49"/>
        <v>7.5659877224133254</v>
      </c>
      <c r="G210">
        <f t="shared" si="50"/>
        <v>1.4322134046563129E-2</v>
      </c>
      <c r="I210">
        <v>33.18</v>
      </c>
      <c r="J210">
        <v>34.860000999999997</v>
      </c>
      <c r="K210">
        <v>32.989769000000003</v>
      </c>
      <c r="L210">
        <f t="shared" si="59"/>
        <v>1.0512666401792781</v>
      </c>
      <c r="M210">
        <f t="shared" si="51"/>
        <v>0.52330854634617741</v>
      </c>
      <c r="N210">
        <f t="shared" si="52"/>
        <v>5.1266640179278067E-2</v>
      </c>
      <c r="P210">
        <f t="shared" si="46"/>
        <v>8.0892962687595027</v>
      </c>
      <c r="Q210">
        <f t="shared" si="60"/>
        <v>1.6633392104555389E-2</v>
      </c>
      <c r="T210">
        <f t="shared" si="47"/>
        <v>0.93530852017780941</v>
      </c>
      <c r="U210">
        <f t="shared" si="48"/>
        <v>6.4691479822190645E-2</v>
      </c>
      <c r="V210">
        <f t="shared" si="53"/>
        <v>1.6633392104555472E-2</v>
      </c>
      <c r="W210">
        <f t="shared" si="54"/>
        <v>8.3266726846886741E-17</v>
      </c>
      <c r="Y210">
        <f t="shared" si="55"/>
        <v>1.4220541153793178E-2</v>
      </c>
      <c r="Z210">
        <f t="shared" si="56"/>
        <v>4.9995761125549848E-2</v>
      </c>
      <c r="AA210">
        <f t="shared" si="57"/>
        <v>1.6496572338116119E-2</v>
      </c>
    </row>
    <row r="211" spans="1:27" x14ac:dyDescent="0.3">
      <c r="A211" s="1">
        <v>44127</v>
      </c>
      <c r="B211">
        <v>522.330017</v>
      </c>
      <c r="C211">
        <v>511.51998900000001</v>
      </c>
      <c r="D211">
        <v>511.51998900000001</v>
      </c>
      <c r="E211">
        <f t="shared" si="58"/>
        <v>0.98267186118027616</v>
      </c>
      <c r="F211">
        <f t="shared" si="49"/>
        <v>7.4348832368510207</v>
      </c>
      <c r="G211">
        <f t="shared" si="50"/>
        <v>-1.7328138819723837E-2</v>
      </c>
      <c r="I211">
        <v>34.970001000000003</v>
      </c>
      <c r="J211">
        <v>34.159999999999997</v>
      </c>
      <c r="K211">
        <v>32.32732</v>
      </c>
      <c r="L211">
        <f t="shared" si="59"/>
        <v>0.97991956233461341</v>
      </c>
      <c r="M211">
        <f t="shared" si="51"/>
        <v>0.51280028170150893</v>
      </c>
      <c r="N211">
        <f t="shared" si="52"/>
        <v>-2.0080437665386586E-2</v>
      </c>
      <c r="P211">
        <f t="shared" si="46"/>
        <v>7.9476835185525294</v>
      </c>
      <c r="Q211">
        <f t="shared" si="60"/>
        <v>-1.7506189104962711E-2</v>
      </c>
      <c r="T211">
        <f t="shared" si="47"/>
        <v>0.93547801941226483</v>
      </c>
      <c r="U211">
        <f t="shared" si="48"/>
        <v>6.4521980587735159E-2</v>
      </c>
      <c r="V211">
        <f t="shared" si="53"/>
        <v>-1.7506189104962669E-2</v>
      </c>
      <c r="W211">
        <f t="shared" si="54"/>
        <v>4.163336342344337E-17</v>
      </c>
      <c r="Y211">
        <f t="shared" si="55"/>
        <v>-1.7480028214954309E-2</v>
      </c>
      <c r="Z211">
        <f t="shared" si="56"/>
        <v>-2.0284789936599931E-2</v>
      </c>
      <c r="AA211">
        <f t="shared" si="57"/>
        <v>-1.7661234602035194E-2</v>
      </c>
    </row>
    <row r="212" spans="1:27" x14ac:dyDescent="0.3">
      <c r="A212" s="1">
        <v>44130</v>
      </c>
      <c r="B212">
        <v>520.489014</v>
      </c>
      <c r="C212">
        <v>517.78997800000002</v>
      </c>
      <c r="D212">
        <v>517.78997800000002</v>
      </c>
      <c r="E212">
        <f t="shared" si="58"/>
        <v>1.0122575639952167</v>
      </c>
      <c r="F212">
        <f t="shared" si="49"/>
        <v>7.5260167939236862</v>
      </c>
      <c r="G212">
        <f t="shared" si="50"/>
        <v>1.2257563995216714E-2</v>
      </c>
      <c r="I212">
        <v>33.610000999999997</v>
      </c>
      <c r="J212">
        <v>33.349997999999999</v>
      </c>
      <c r="K212">
        <v>31.560777999999999</v>
      </c>
      <c r="L212">
        <f t="shared" si="59"/>
        <v>0.97628810554045309</v>
      </c>
      <c r="M212">
        <f t="shared" si="51"/>
        <v>0.50064081554297679</v>
      </c>
      <c r="N212">
        <f t="shared" si="52"/>
        <v>-2.3711894459546912E-2</v>
      </c>
      <c r="P212">
        <f t="shared" si="46"/>
        <v>8.0266576094666622</v>
      </c>
      <c r="Q212">
        <f t="shared" si="60"/>
        <v>9.9367432950470125E-3</v>
      </c>
      <c r="T212">
        <f t="shared" si="47"/>
        <v>0.93762773499239349</v>
      </c>
      <c r="U212">
        <f t="shared" si="48"/>
        <v>6.2372265007606606E-2</v>
      </c>
      <c r="V212">
        <f t="shared" si="53"/>
        <v>9.9367432950471096E-3</v>
      </c>
      <c r="W212">
        <f t="shared" si="54"/>
        <v>9.7144514654701197E-17</v>
      </c>
      <c r="Y212">
        <f t="shared" si="55"/>
        <v>1.2183048359825758E-2</v>
      </c>
      <c r="Z212">
        <f t="shared" si="56"/>
        <v>-2.3997546026147638E-2</v>
      </c>
      <c r="AA212">
        <f t="shared" si="57"/>
        <v>9.8876984908590759E-3</v>
      </c>
    </row>
    <row r="213" spans="1:27" x14ac:dyDescent="0.3">
      <c r="A213" s="1">
        <v>44131</v>
      </c>
      <c r="B213">
        <v>525.21997099999999</v>
      </c>
      <c r="C213">
        <v>538.98999000000003</v>
      </c>
      <c r="D213">
        <v>538.98999000000003</v>
      </c>
      <c r="E213">
        <f t="shared" si="58"/>
        <v>1.0409432644522911</v>
      </c>
      <c r="F213">
        <f t="shared" si="49"/>
        <v>7.834156489789688</v>
      </c>
      <c r="G213">
        <f t="shared" si="50"/>
        <v>4.0943264452291128E-2</v>
      </c>
      <c r="I213">
        <v>33.150002000000001</v>
      </c>
      <c r="J213">
        <v>32.82</v>
      </c>
      <c r="K213">
        <v>31.059214000000001</v>
      </c>
      <c r="L213">
        <f t="shared" si="59"/>
        <v>0.98410799632379153</v>
      </c>
      <c r="M213">
        <f t="shared" si="51"/>
        <v>0.49268462986190781</v>
      </c>
      <c r="N213">
        <f t="shared" si="52"/>
        <v>-1.5892003676208466E-2</v>
      </c>
      <c r="P213">
        <f t="shared" si="46"/>
        <v>8.3268411196515952</v>
      </c>
      <c r="Q213">
        <f t="shared" si="60"/>
        <v>3.7398320046801992E-2</v>
      </c>
      <c r="T213">
        <f t="shared" si="47"/>
        <v>0.94083174846471407</v>
      </c>
      <c r="U213">
        <f t="shared" si="48"/>
        <v>5.9168251535285966E-2</v>
      </c>
      <c r="V213">
        <f t="shared" si="53"/>
        <v>3.7398320046801978E-2</v>
      </c>
      <c r="W213">
        <f t="shared" si="54"/>
        <v>1.3877787807814457E-17</v>
      </c>
      <c r="Y213">
        <f t="shared" si="55"/>
        <v>4.0127287141153371E-2</v>
      </c>
      <c r="Z213">
        <f t="shared" si="56"/>
        <v>-1.601963559065666E-2</v>
      </c>
      <c r="AA213">
        <f t="shared" si="57"/>
        <v>3.671596354576788E-2</v>
      </c>
    </row>
    <row r="214" spans="1:27" x14ac:dyDescent="0.3">
      <c r="A214" s="1">
        <v>44132</v>
      </c>
      <c r="B214">
        <v>549.5</v>
      </c>
      <c r="C214">
        <v>516.01000999999997</v>
      </c>
      <c r="D214">
        <v>516.01000999999997</v>
      </c>
      <c r="E214">
        <f t="shared" si="58"/>
        <v>0.95736473695921498</v>
      </c>
      <c r="F214">
        <f t="shared" si="49"/>
        <v>7.500145167144832</v>
      </c>
      <c r="G214">
        <f t="shared" si="50"/>
        <v>-4.2635263040785021E-2</v>
      </c>
      <c r="I214">
        <v>32.099997999999999</v>
      </c>
      <c r="J214">
        <v>31.57</v>
      </c>
      <c r="K214">
        <v>29.876277999999999</v>
      </c>
      <c r="L214">
        <f t="shared" si="59"/>
        <v>0.96191352427656407</v>
      </c>
      <c r="M214">
        <f t="shared" si="51"/>
        <v>0.47392000866736222</v>
      </c>
      <c r="N214">
        <f t="shared" si="52"/>
        <v>-3.8086475723435931E-2</v>
      </c>
      <c r="P214">
        <f t="shared" si="46"/>
        <v>7.9740651758121945</v>
      </c>
      <c r="Q214">
        <f t="shared" si="60"/>
        <v>-4.2366119248611445E-2</v>
      </c>
      <c r="T214">
        <f t="shared" si="47"/>
        <v>0.94056732692568046</v>
      </c>
      <c r="U214">
        <f t="shared" si="48"/>
        <v>5.94326730743195E-2</v>
      </c>
      <c r="V214">
        <f t="shared" si="53"/>
        <v>-4.236611924861159E-2</v>
      </c>
      <c r="W214">
        <f t="shared" si="54"/>
        <v>1.457167719820518E-16</v>
      </c>
      <c r="Y214">
        <f t="shared" si="55"/>
        <v>-4.3570834789768371E-2</v>
      </c>
      <c r="Z214">
        <f t="shared" si="56"/>
        <v>-3.8830723961326225E-2</v>
      </c>
      <c r="AA214">
        <f t="shared" si="57"/>
        <v>-4.3289744462645878E-2</v>
      </c>
    </row>
    <row r="215" spans="1:27" x14ac:dyDescent="0.3">
      <c r="A215" s="1">
        <v>44133</v>
      </c>
      <c r="B215">
        <v>521.19000200000005</v>
      </c>
      <c r="C215">
        <v>489.67999300000002</v>
      </c>
      <c r="D215">
        <v>489.67999300000002</v>
      </c>
      <c r="E215">
        <f t="shared" si="58"/>
        <v>0.94897382513955508</v>
      </c>
      <c r="F215">
        <f t="shared" si="49"/>
        <v>7.1174414483673791</v>
      </c>
      <c r="G215">
        <f t="shared" si="50"/>
        <v>-5.1026174860444917E-2</v>
      </c>
      <c r="I215">
        <v>31.41</v>
      </c>
      <c r="J215">
        <v>32.970001000000003</v>
      </c>
      <c r="K215">
        <v>31.201166000000001</v>
      </c>
      <c r="L215">
        <f t="shared" si="59"/>
        <v>1.0443458184449883</v>
      </c>
      <c r="M215">
        <f t="shared" si="51"/>
        <v>0.49493637932917234</v>
      </c>
      <c r="N215">
        <f t="shared" si="52"/>
        <v>4.4345818444988305E-2</v>
      </c>
      <c r="P215">
        <f t="shared" si="46"/>
        <v>7.6123778276965517</v>
      </c>
      <c r="Q215">
        <f t="shared" si="60"/>
        <v>-4.5357962361876947E-2</v>
      </c>
      <c r="T215">
        <f t="shared" si="47"/>
        <v>0.93498268339645241</v>
      </c>
      <c r="U215">
        <f t="shared" si="48"/>
        <v>6.5017316603547565E-2</v>
      </c>
      <c r="V215">
        <f t="shared" si="53"/>
        <v>-4.5357962361876912E-2</v>
      </c>
      <c r="W215">
        <f t="shared" si="54"/>
        <v>3.4694469519536142E-17</v>
      </c>
      <c r="Y215">
        <f t="shared" si="55"/>
        <v>-5.2374062270441793E-2</v>
      </c>
      <c r="Z215">
        <f t="shared" si="56"/>
        <v>4.3390678332610649E-2</v>
      </c>
      <c r="AA215">
        <f t="shared" si="57"/>
        <v>-4.641883846591776E-2</v>
      </c>
    </row>
    <row r="216" spans="1:27" x14ac:dyDescent="0.3">
      <c r="A216" s="1">
        <v>44134</v>
      </c>
      <c r="B216">
        <v>481.5</v>
      </c>
      <c r="C216">
        <v>460.91000400000001</v>
      </c>
      <c r="D216">
        <v>460.91000400000001</v>
      </c>
      <c r="E216">
        <f t="shared" si="58"/>
        <v>0.94124736682880972</v>
      </c>
      <c r="F216">
        <f t="shared" si="49"/>
        <v>6.6992730218340251</v>
      </c>
      <c r="G216">
        <f t="shared" si="50"/>
        <v>-5.8752633171190283E-2</v>
      </c>
      <c r="I216">
        <v>32.409999999999997</v>
      </c>
      <c r="J216">
        <v>32.619999</v>
      </c>
      <c r="K216">
        <v>30.869942000000002</v>
      </c>
      <c r="L216">
        <f t="shared" si="59"/>
        <v>0.9893842428837436</v>
      </c>
      <c r="M216">
        <f t="shared" si="51"/>
        <v>0.48968225493821449</v>
      </c>
      <c r="N216">
        <f t="shared" si="52"/>
        <v>-1.0615757116256397E-2</v>
      </c>
      <c r="P216">
        <f t="shared" si="46"/>
        <v>7.1889552767722398</v>
      </c>
      <c r="Q216">
        <f t="shared" si="60"/>
        <v>-5.5622902660420914E-2</v>
      </c>
      <c r="T216">
        <f t="shared" si="47"/>
        <v>0.93188408661820521</v>
      </c>
      <c r="U216">
        <f t="shared" si="48"/>
        <v>6.811591338179479E-2</v>
      </c>
      <c r="V216">
        <f t="shared" si="53"/>
        <v>-5.5622902660420914E-2</v>
      </c>
      <c r="W216">
        <f t="shared" si="54"/>
        <v>0</v>
      </c>
      <c r="Y216">
        <f t="shared" si="55"/>
        <v>-6.0549297397779769E-2</v>
      </c>
      <c r="Z216">
        <f t="shared" si="56"/>
        <v>-1.0672506246474157E-2</v>
      </c>
      <c r="AA216">
        <f t="shared" si="57"/>
        <v>-5.7229725081803982E-2</v>
      </c>
    </row>
    <row r="217" spans="1:27" x14ac:dyDescent="0.3">
      <c r="A217" s="1">
        <v>44137</v>
      </c>
      <c r="B217">
        <v>462.290009</v>
      </c>
      <c r="C217">
        <v>453</v>
      </c>
      <c r="D217">
        <v>453</v>
      </c>
      <c r="E217">
        <f t="shared" si="58"/>
        <v>0.98283828961976705</v>
      </c>
      <c r="F217">
        <f t="shared" si="49"/>
        <v>6.5843020384752018</v>
      </c>
      <c r="G217">
        <f t="shared" si="50"/>
        <v>-1.7161710380232953E-2</v>
      </c>
      <c r="I217">
        <v>33.139999000000003</v>
      </c>
      <c r="J217">
        <v>33.990001999999997</v>
      </c>
      <c r="K217">
        <v>32.166443000000001</v>
      </c>
      <c r="L217">
        <f t="shared" si="59"/>
        <v>1.0419988155468514</v>
      </c>
      <c r="M217">
        <f t="shared" si="51"/>
        <v>0.51024832963993083</v>
      </c>
      <c r="N217">
        <f t="shared" si="52"/>
        <v>4.1998815546851365E-2</v>
      </c>
      <c r="P217">
        <f t="shared" si="46"/>
        <v>7.094550368115133</v>
      </c>
      <c r="Q217">
        <f t="shared" si="60"/>
        <v>-1.3131937120562154E-2</v>
      </c>
      <c r="T217">
        <f t="shared" si="47"/>
        <v>0.92807883471613251</v>
      </c>
      <c r="U217">
        <f t="shared" si="48"/>
        <v>7.1921165283867411E-2</v>
      </c>
      <c r="V217">
        <f t="shared" si="53"/>
        <v>-1.3131937120562254E-2</v>
      </c>
      <c r="W217">
        <f t="shared" si="54"/>
        <v>1.0061396160665481E-16</v>
      </c>
      <c r="Y217">
        <f t="shared" si="55"/>
        <v>-1.731067936695076E-2</v>
      </c>
      <c r="Z217">
        <f t="shared" si="56"/>
        <v>4.1140806619254039E-2</v>
      </c>
      <c r="AA217">
        <f t="shared" si="57"/>
        <v>-1.3218923378127008E-2</v>
      </c>
    </row>
    <row r="218" spans="1:27" x14ac:dyDescent="0.3">
      <c r="A218" s="1">
        <v>44138</v>
      </c>
      <c r="B218">
        <v>456.32800300000002</v>
      </c>
      <c r="C218">
        <v>451.51001000000002</v>
      </c>
      <c r="D218">
        <v>451.51001000000002</v>
      </c>
      <c r="E218">
        <f t="shared" si="58"/>
        <v>0.99671083885209721</v>
      </c>
      <c r="F218">
        <f t="shared" si="49"/>
        <v>6.5626452080241924</v>
      </c>
      <c r="G218">
        <f t="shared" si="50"/>
        <v>-3.289161147902786E-3</v>
      </c>
      <c r="I218">
        <v>34.490001999999997</v>
      </c>
      <c r="J218">
        <v>33.409999999999997</v>
      </c>
      <c r="K218">
        <v>31.617559</v>
      </c>
      <c r="L218">
        <f t="shared" si="59"/>
        <v>0.98293613005329805</v>
      </c>
      <c r="M218">
        <f t="shared" si="51"/>
        <v>0.50154151850243311</v>
      </c>
      <c r="N218">
        <f t="shared" si="52"/>
        <v>-1.7063869946701948E-2</v>
      </c>
      <c r="P218">
        <f t="shared" si="46"/>
        <v>7.0641867265266258</v>
      </c>
      <c r="Q218">
        <f t="shared" si="60"/>
        <v>-4.2798542561582886E-3</v>
      </c>
      <c r="T218">
        <f t="shared" si="47"/>
        <v>0.92900222801032395</v>
      </c>
      <c r="U218">
        <f t="shared" si="48"/>
        <v>7.0997771989676009E-2</v>
      </c>
      <c r="V218">
        <f t="shared" si="53"/>
        <v>-4.2798542561583632E-3</v>
      </c>
      <c r="W218">
        <f t="shared" si="54"/>
        <v>7.4593109467002705E-17</v>
      </c>
      <c r="Y218">
        <f t="shared" si="55"/>
        <v>-3.2945823291210146E-3</v>
      </c>
      <c r="Z218">
        <f t="shared" si="56"/>
        <v>-1.7211135459335898E-2</v>
      </c>
      <c r="AA218">
        <f t="shared" si="57"/>
        <v>-4.2890390481339705E-3</v>
      </c>
    </row>
    <row r="219" spans="1:27" x14ac:dyDescent="0.3">
      <c r="A219" s="1">
        <v>44139</v>
      </c>
      <c r="B219">
        <v>471.92001299999998</v>
      </c>
      <c r="C219">
        <v>483.70001200000002</v>
      </c>
      <c r="D219">
        <v>483.70001200000002</v>
      </c>
      <c r="E219">
        <f t="shared" si="58"/>
        <v>1.0712941048638103</v>
      </c>
      <c r="F219">
        <f t="shared" si="49"/>
        <v>7.0305231236690515</v>
      </c>
      <c r="G219">
        <f t="shared" si="50"/>
        <v>7.129410486381027E-2</v>
      </c>
      <c r="I219">
        <v>33.270000000000003</v>
      </c>
      <c r="J219">
        <v>33.229999999999997</v>
      </c>
      <c r="K219">
        <v>31.447216000000001</v>
      </c>
      <c r="L219">
        <f t="shared" si="59"/>
        <v>0.99461239243674693</v>
      </c>
      <c r="M219">
        <f t="shared" si="51"/>
        <v>0.49883940962406398</v>
      </c>
      <c r="N219">
        <f t="shared" si="52"/>
        <v>-5.3876075632530718E-3</v>
      </c>
      <c r="P219">
        <f t="shared" si="46"/>
        <v>7.5293625332931153</v>
      </c>
      <c r="Q219">
        <f t="shared" si="60"/>
        <v>6.5849874129135788E-2</v>
      </c>
      <c r="T219">
        <f t="shared" si="47"/>
        <v>0.93374745771394185</v>
      </c>
      <c r="U219">
        <f t="shared" si="48"/>
        <v>6.6252542286058147E-2</v>
      </c>
      <c r="V219">
        <f t="shared" si="53"/>
        <v>6.5849874129135719E-2</v>
      </c>
      <c r="W219">
        <f t="shared" si="54"/>
        <v>6.9388939039072284E-17</v>
      </c>
      <c r="Y219">
        <f t="shared" si="55"/>
        <v>6.8867361483790107E-2</v>
      </c>
      <c r="Z219">
        <f t="shared" si="56"/>
        <v>-5.4021730598897639E-3</v>
      </c>
      <c r="AA219">
        <f t="shared" si="57"/>
        <v>6.3772484802708307E-2</v>
      </c>
    </row>
    <row r="220" spans="1:27" x14ac:dyDescent="0.3">
      <c r="A220" s="1">
        <v>44140</v>
      </c>
      <c r="B220">
        <v>497.98998999999998</v>
      </c>
      <c r="C220">
        <v>496.73001099999999</v>
      </c>
      <c r="D220">
        <v>496.73001099999999</v>
      </c>
      <c r="E220">
        <f t="shared" si="58"/>
        <v>1.0269381820896046</v>
      </c>
      <c r="F220">
        <f t="shared" si="49"/>
        <v>7.2199126357596244</v>
      </c>
      <c r="G220">
        <f t="shared" si="50"/>
        <v>2.6938182089604634E-2</v>
      </c>
      <c r="I220">
        <v>33.369999</v>
      </c>
      <c r="J220">
        <v>33.169998</v>
      </c>
      <c r="K220">
        <v>31.390433999999999</v>
      </c>
      <c r="L220">
        <f t="shared" si="59"/>
        <v>0.99819437116468424</v>
      </c>
      <c r="M220">
        <f t="shared" si="51"/>
        <v>0.49793869080185488</v>
      </c>
      <c r="N220">
        <f t="shared" si="52"/>
        <v>-1.8056288353157646E-3</v>
      </c>
      <c r="P220">
        <f t="shared" si="46"/>
        <v>7.7178513265614797</v>
      </c>
      <c r="Q220">
        <f t="shared" si="60"/>
        <v>2.5033831540838936E-2</v>
      </c>
      <c r="T220">
        <f t="shared" si="47"/>
        <v>0.93548221263498987</v>
      </c>
      <c r="U220">
        <f t="shared" si="48"/>
        <v>6.4517787365010126E-2</v>
      </c>
      <c r="V220">
        <f t="shared" si="53"/>
        <v>2.5033831540838884E-2</v>
      </c>
      <c r="W220">
        <f t="shared" si="54"/>
        <v>5.2041704279304213E-17</v>
      </c>
      <c r="Y220">
        <f t="shared" si="55"/>
        <v>2.6581736427469162E-2</v>
      </c>
      <c r="Z220">
        <f t="shared" si="56"/>
        <v>-1.8072609480169692E-3</v>
      </c>
      <c r="AA220">
        <f t="shared" si="57"/>
        <v>2.4725618426979162E-2</v>
      </c>
    </row>
    <row r="221" spans="1:27" x14ac:dyDescent="0.3">
      <c r="A221" s="1">
        <v>44141</v>
      </c>
      <c r="B221">
        <v>494.66000400000001</v>
      </c>
      <c r="C221">
        <v>500.10998499999999</v>
      </c>
      <c r="D221">
        <v>500.10998499999999</v>
      </c>
      <c r="E221">
        <f t="shared" si="58"/>
        <v>1.0068044489464116</v>
      </c>
      <c r="F221">
        <f t="shared" si="49"/>
        <v>7.2690401626872028</v>
      </c>
      <c r="G221">
        <f t="shared" si="50"/>
        <v>6.8044489464116342E-3</v>
      </c>
      <c r="I221">
        <v>33.099997999999999</v>
      </c>
      <c r="J221">
        <v>32.779998999999997</v>
      </c>
      <c r="K221">
        <v>31.021357999999999</v>
      </c>
      <c r="L221">
        <f t="shared" si="59"/>
        <v>0.9882424053136698</v>
      </c>
      <c r="M221">
        <f t="shared" si="51"/>
        <v>0.49208412949676478</v>
      </c>
      <c r="N221">
        <f t="shared" si="52"/>
        <v>-1.1757594686330197E-2</v>
      </c>
      <c r="P221">
        <f t="shared" si="46"/>
        <v>7.7611242921839674</v>
      </c>
      <c r="Q221">
        <f t="shared" si="60"/>
        <v>5.6068669622542089E-3</v>
      </c>
      <c r="T221">
        <f t="shared" si="47"/>
        <v>0.93659628283593777</v>
      </c>
      <c r="U221">
        <f t="shared" si="48"/>
        <v>6.3403717164062207E-2</v>
      </c>
      <c r="V221">
        <f t="shared" si="53"/>
        <v>5.6068669622543563E-3</v>
      </c>
      <c r="W221">
        <f t="shared" si="54"/>
        <v>1.474514954580286E-16</v>
      </c>
      <c r="Y221">
        <f t="shared" si="55"/>
        <v>6.7814031671663251E-3</v>
      </c>
      <c r="Z221">
        <f t="shared" si="56"/>
        <v>-1.1827261819774613E-2</v>
      </c>
      <c r="AA221">
        <f t="shared" si="57"/>
        <v>5.5912069919992913E-3</v>
      </c>
    </row>
    <row r="222" spans="1:27" x14ac:dyDescent="0.3">
      <c r="A222" s="1">
        <v>44144</v>
      </c>
      <c r="B222">
        <v>433</v>
      </c>
      <c r="C222">
        <v>413.23998999999998</v>
      </c>
      <c r="D222">
        <v>413.23998999999998</v>
      </c>
      <c r="E222">
        <f t="shared" si="58"/>
        <v>0.82629821918072677</v>
      </c>
      <c r="F222">
        <f t="shared" si="49"/>
        <v>6.0063949415816165</v>
      </c>
      <c r="G222">
        <f t="shared" si="50"/>
        <v>-0.17370178081927323</v>
      </c>
      <c r="I222">
        <v>36.419998</v>
      </c>
      <c r="J222">
        <v>36.93</v>
      </c>
      <c r="K222">
        <v>34.948715</v>
      </c>
      <c r="L222">
        <f t="shared" si="59"/>
        <v>1.1266017109889257</v>
      </c>
      <c r="M222">
        <f t="shared" si="51"/>
        <v>0.55438282224155133</v>
      </c>
      <c r="N222">
        <f t="shared" si="52"/>
        <v>0.1266017109889257</v>
      </c>
      <c r="P222">
        <f t="shared" si="46"/>
        <v>6.5607777638231681</v>
      </c>
      <c r="Q222">
        <f t="shared" si="60"/>
        <v>-0.15466142316128584</v>
      </c>
      <c r="T222">
        <f t="shared" si="47"/>
        <v>0.91550044183808843</v>
      </c>
      <c r="U222">
        <f t="shared" si="48"/>
        <v>8.4499558161911473E-2</v>
      </c>
      <c r="V222">
        <f t="shared" si="53"/>
        <v>-0.15466142316128592</v>
      </c>
      <c r="W222">
        <f t="shared" si="54"/>
        <v>8.3266726846886741E-17</v>
      </c>
      <c r="Y222">
        <f t="shared" si="55"/>
        <v>-0.19079953045010695</v>
      </c>
      <c r="Z222">
        <f t="shared" si="56"/>
        <v>0.11920576619641232</v>
      </c>
      <c r="AA222">
        <f t="shared" si="57"/>
        <v>-0.16801804922745378</v>
      </c>
    </row>
    <row r="223" spans="1:27" x14ac:dyDescent="0.3">
      <c r="A223" s="1">
        <v>44145</v>
      </c>
      <c r="B223">
        <v>412.50399800000002</v>
      </c>
      <c r="C223">
        <v>376.01001000000002</v>
      </c>
      <c r="D223">
        <v>376.01001000000002</v>
      </c>
      <c r="E223">
        <f t="shared" si="58"/>
        <v>0.90990712200917445</v>
      </c>
      <c r="F223">
        <f t="shared" si="49"/>
        <v>5.4652615349449922</v>
      </c>
      <c r="G223">
        <f t="shared" si="50"/>
        <v>-9.0092877990825548E-2</v>
      </c>
      <c r="I223">
        <v>37.049999</v>
      </c>
      <c r="J223">
        <v>36.860000999999997</v>
      </c>
      <c r="K223">
        <v>35.724060000000001</v>
      </c>
      <c r="L223">
        <f t="shared" si="59"/>
        <v>1.022185221974542</v>
      </c>
      <c r="M223">
        <f t="shared" si="51"/>
        <v>0.56668192821185315</v>
      </c>
      <c r="N223">
        <f t="shared" si="52"/>
        <v>2.218522197454198E-2</v>
      </c>
      <c r="P223">
        <f t="shared" si="46"/>
        <v>6.0319434631568454</v>
      </c>
      <c r="Q223">
        <f t="shared" si="60"/>
        <v>-8.0605428152493053E-2</v>
      </c>
      <c r="T223">
        <f t="shared" si="47"/>
        <v>0.90605317644749983</v>
      </c>
      <c r="U223">
        <f t="shared" si="48"/>
        <v>9.3946823552500197E-2</v>
      </c>
      <c r="V223">
        <f t="shared" si="53"/>
        <v>-8.0605428152493053E-2</v>
      </c>
      <c r="W223">
        <f t="shared" si="54"/>
        <v>0</v>
      </c>
      <c r="Y223">
        <f t="shared" si="55"/>
        <v>-9.4412748406279778E-2</v>
      </c>
      <c r="Z223">
        <f t="shared" si="56"/>
        <v>2.1942710169218244E-2</v>
      </c>
      <c r="AA223">
        <f t="shared" si="57"/>
        <v>-8.4039899643636867E-2</v>
      </c>
    </row>
    <row r="224" spans="1:27" x14ac:dyDescent="0.3">
      <c r="A224" s="1">
        <v>44146</v>
      </c>
      <c r="B224">
        <v>391.64999399999999</v>
      </c>
      <c r="C224">
        <v>413.33999599999999</v>
      </c>
      <c r="D224">
        <v>413.33999599999999</v>
      </c>
      <c r="E224">
        <f t="shared" si="58"/>
        <v>1.0992792346139932</v>
      </c>
      <c r="F224">
        <f t="shared" si="49"/>
        <v>6.007848517099629</v>
      </c>
      <c r="G224">
        <f t="shared" si="50"/>
        <v>9.9279234613993239E-2</v>
      </c>
      <c r="I224">
        <v>37.090000000000003</v>
      </c>
      <c r="J224">
        <v>36.479999999999997</v>
      </c>
      <c r="K224">
        <v>35.35577</v>
      </c>
      <c r="L224">
        <f t="shared" si="59"/>
        <v>0.98969070144882743</v>
      </c>
      <c r="M224">
        <f t="shared" si="51"/>
        <v>0.56083983503036305</v>
      </c>
      <c r="N224">
        <f t="shared" si="52"/>
        <v>-1.0309298551172574E-2</v>
      </c>
      <c r="P224">
        <f t="shared" si="46"/>
        <v>6.5686883521299917</v>
      </c>
      <c r="Q224">
        <f t="shared" si="60"/>
        <v>8.8983740025348146E-2</v>
      </c>
      <c r="T224">
        <f t="shared" si="47"/>
        <v>0.9146192047840872</v>
      </c>
      <c r="U224">
        <f t="shared" si="48"/>
        <v>8.538079521591288E-2</v>
      </c>
      <c r="V224">
        <f t="shared" si="53"/>
        <v>8.898374002534809E-2</v>
      </c>
      <c r="W224">
        <f t="shared" si="54"/>
        <v>5.5511151231257827E-17</v>
      </c>
      <c r="Y224">
        <f t="shared" si="55"/>
        <v>9.4654723779944203E-2</v>
      </c>
      <c r="Z224">
        <f t="shared" si="56"/>
        <v>-1.0362807446627414E-2</v>
      </c>
      <c r="AA224">
        <f t="shared" si="57"/>
        <v>8.5244912733153294E-2</v>
      </c>
    </row>
    <row r="225" spans="1:27" x14ac:dyDescent="0.3">
      <c r="A225" s="1">
        <v>44147</v>
      </c>
      <c r="B225">
        <v>427.85000600000001</v>
      </c>
      <c r="C225">
        <v>428.64001500000001</v>
      </c>
      <c r="D225">
        <v>428.64001500000001</v>
      </c>
      <c r="E225">
        <f t="shared" si="58"/>
        <v>1.0370155783327584</v>
      </c>
      <c r="F225">
        <f t="shared" si="49"/>
        <v>6.2302325044956763</v>
      </c>
      <c r="G225">
        <f t="shared" si="50"/>
        <v>3.701557833275837E-2</v>
      </c>
      <c r="I225">
        <v>35.860000999999997</v>
      </c>
      <c r="J225">
        <v>35.229999999999997</v>
      </c>
      <c r="K225">
        <v>34.144291000000003</v>
      </c>
      <c r="L225">
        <f t="shared" si="59"/>
        <v>0.96573461700876551</v>
      </c>
      <c r="M225">
        <f t="shared" si="51"/>
        <v>0.54162244328630693</v>
      </c>
      <c r="N225">
        <f t="shared" si="52"/>
        <v>-3.4265382991234494E-2</v>
      </c>
      <c r="P225">
        <f t="shared" si="46"/>
        <v>6.7718549477819829</v>
      </c>
      <c r="Q225">
        <f t="shared" si="60"/>
        <v>3.0929553171161084E-2</v>
      </c>
      <c r="T225">
        <f t="shared" si="47"/>
        <v>0.92001859941437369</v>
      </c>
      <c r="U225">
        <f t="shared" si="48"/>
        <v>7.9981400585626403E-2</v>
      </c>
      <c r="V225">
        <f t="shared" si="53"/>
        <v>3.0929553171161136E-2</v>
      </c>
      <c r="W225">
        <f t="shared" si="54"/>
        <v>5.2041704279304213E-17</v>
      </c>
      <c r="Y225">
        <f t="shared" si="55"/>
        <v>3.6346951634802803E-2</v>
      </c>
      <c r="Z225">
        <f t="shared" si="56"/>
        <v>-3.4866206106468726E-2</v>
      </c>
      <c r="AA225">
        <f t="shared" si="57"/>
        <v>3.0460874059346062E-2</v>
      </c>
    </row>
    <row r="226" spans="1:27" x14ac:dyDescent="0.3">
      <c r="A226" s="1">
        <v>44148</v>
      </c>
      <c r="B226">
        <v>425.98998999999998</v>
      </c>
      <c r="C226">
        <v>403.57998700000002</v>
      </c>
      <c r="D226">
        <v>403.57998700000002</v>
      </c>
      <c r="E226">
        <f t="shared" si="58"/>
        <v>0.94153595762635467</v>
      </c>
      <c r="F226">
        <f t="shared" si="49"/>
        <v>5.8659879273551789</v>
      </c>
      <c r="G226">
        <f t="shared" si="50"/>
        <v>-5.8464042373645331E-2</v>
      </c>
      <c r="I226">
        <v>35.400002000000001</v>
      </c>
      <c r="J226">
        <v>36.080002</v>
      </c>
      <c r="K226">
        <v>34.968097999999998</v>
      </c>
      <c r="L226">
        <f t="shared" si="59"/>
        <v>1.0241272252512139</v>
      </c>
      <c r="M226">
        <f t="shared" si="51"/>
        <v>0.55469028997658854</v>
      </c>
      <c r="N226">
        <f t="shared" si="52"/>
        <v>2.4127225251213913E-2</v>
      </c>
      <c r="P226">
        <f t="shared" si="46"/>
        <v>6.4206782173317674</v>
      </c>
      <c r="Q226">
        <f t="shared" si="60"/>
        <v>-5.1858277112866724E-2</v>
      </c>
      <c r="T226">
        <f t="shared" si="47"/>
        <v>0.91360876979019512</v>
      </c>
      <c r="U226">
        <f t="shared" si="48"/>
        <v>8.6391230209804909E-2</v>
      </c>
      <c r="V226">
        <f t="shared" si="53"/>
        <v>-5.1858277112866794E-2</v>
      </c>
      <c r="W226">
        <f t="shared" si="54"/>
        <v>6.9388939039072284E-17</v>
      </c>
      <c r="Y226">
        <f t="shared" si="55"/>
        <v>-6.0242739764666514E-2</v>
      </c>
      <c r="Z226">
        <f t="shared" si="56"/>
        <v>2.3840762309131472E-2</v>
      </c>
      <c r="AA226">
        <f t="shared" si="57"/>
        <v>-5.3251291184250454E-2</v>
      </c>
    </row>
    <row r="227" spans="1:27" x14ac:dyDescent="0.3">
      <c r="A227" s="1">
        <v>44151</v>
      </c>
      <c r="B227">
        <v>382.60000600000001</v>
      </c>
      <c r="C227">
        <v>399.14999399999999</v>
      </c>
      <c r="D227">
        <v>399.14999399999999</v>
      </c>
      <c r="E227">
        <f t="shared" si="58"/>
        <v>0.98902325897542576</v>
      </c>
      <c r="F227">
        <f t="shared" si="49"/>
        <v>5.8015984970233223</v>
      </c>
      <c r="G227">
        <f t="shared" si="50"/>
        <v>-1.0976741024574244E-2</v>
      </c>
      <c r="I227">
        <v>37.590000000000003</v>
      </c>
      <c r="J227">
        <v>38.159999999999997</v>
      </c>
      <c r="K227">
        <v>36.983994000000003</v>
      </c>
      <c r="L227">
        <f t="shared" si="59"/>
        <v>1.057649575335782</v>
      </c>
      <c r="M227">
        <f t="shared" si="51"/>
        <v>0.58666794963662061</v>
      </c>
      <c r="N227">
        <f t="shared" si="52"/>
        <v>5.7649575335781966E-2</v>
      </c>
      <c r="P227">
        <f t="shared" si="46"/>
        <v>6.3882664466599426</v>
      </c>
      <c r="Q227">
        <f t="shared" si="60"/>
        <v>-5.0480291294358048E-3</v>
      </c>
      <c r="T227">
        <f t="shared" si="47"/>
        <v>0.90816476511505628</v>
      </c>
      <c r="U227">
        <f t="shared" si="48"/>
        <v>9.1835234884943717E-2</v>
      </c>
      <c r="V227">
        <f t="shared" si="53"/>
        <v>-5.04802912943581E-3</v>
      </c>
      <c r="W227">
        <f t="shared" si="54"/>
        <v>5.2041704279304213E-18</v>
      </c>
      <c r="Y227">
        <f t="shared" si="55"/>
        <v>-1.1037429966167514E-2</v>
      </c>
      <c r="Z227">
        <f t="shared" si="56"/>
        <v>5.6049064334165719E-2</v>
      </c>
      <c r="AA227">
        <f t="shared" si="57"/>
        <v>-5.0608134704465133E-3</v>
      </c>
    </row>
    <row r="228" spans="1:27" x14ac:dyDescent="0.3">
      <c r="A228" s="1">
        <v>44152</v>
      </c>
      <c r="B228">
        <v>406.290009</v>
      </c>
      <c r="C228">
        <v>401.63000499999998</v>
      </c>
      <c r="D228">
        <v>401.63000499999998</v>
      </c>
      <c r="E228">
        <f t="shared" si="58"/>
        <v>1.0062132307084539</v>
      </c>
      <c r="F228">
        <f t="shared" si="49"/>
        <v>5.8376451669631475</v>
      </c>
      <c r="G228">
        <f t="shared" si="50"/>
        <v>6.2132307084539207E-3</v>
      </c>
      <c r="I228">
        <v>37.810001</v>
      </c>
      <c r="J228">
        <v>38.669998</v>
      </c>
      <c r="K228">
        <v>37.478279000000001</v>
      </c>
      <c r="L228">
        <f t="shared" si="59"/>
        <v>1.0133648356096965</v>
      </c>
      <c r="M228">
        <f t="shared" si="51"/>
        <v>0.59450867034099175</v>
      </c>
      <c r="N228">
        <f t="shared" si="52"/>
        <v>1.3364835609696479E-2</v>
      </c>
      <c r="P228">
        <f t="shared" si="46"/>
        <v>6.4321538373041394</v>
      </c>
      <c r="Q228">
        <f t="shared" si="60"/>
        <v>6.870000024363776E-3</v>
      </c>
      <c r="T228">
        <f t="shared" si="47"/>
        <v>0.90757238004895668</v>
      </c>
      <c r="U228">
        <f t="shared" si="48"/>
        <v>9.2427619951043288E-2</v>
      </c>
      <c r="V228">
        <f t="shared" si="53"/>
        <v>6.8700000243638454E-3</v>
      </c>
      <c r="W228">
        <f t="shared" si="54"/>
        <v>6.9388939039072284E-17</v>
      </c>
      <c r="Y228">
        <f t="shared" si="55"/>
        <v>6.1940081721474803E-3</v>
      </c>
      <c r="Z228">
        <f t="shared" si="56"/>
        <v>1.3276314039532635E-2</v>
      </c>
      <c r="AA228">
        <f t="shared" si="57"/>
        <v>6.8465091012549269E-3</v>
      </c>
    </row>
    <row r="229" spans="1:27" x14ac:dyDescent="0.3">
      <c r="A229" s="1">
        <v>44153</v>
      </c>
      <c r="B229">
        <v>399</v>
      </c>
      <c r="C229">
        <v>415.040009</v>
      </c>
      <c r="D229">
        <v>415.040009</v>
      </c>
      <c r="E229">
        <f t="shared" si="58"/>
        <v>1.0333889496129653</v>
      </c>
      <c r="F229">
        <f t="shared" si="49"/>
        <v>6.032558007301251</v>
      </c>
      <c r="G229">
        <f t="shared" si="50"/>
        <v>3.3388949612965346E-2</v>
      </c>
      <c r="I229">
        <v>39.020000000000003</v>
      </c>
      <c r="J229">
        <v>37.209999000000003</v>
      </c>
      <c r="K229">
        <v>36.063271</v>
      </c>
      <c r="L229">
        <f t="shared" si="59"/>
        <v>0.96224458438980076</v>
      </c>
      <c r="M229">
        <f t="shared" si="51"/>
        <v>0.57206274840840066</v>
      </c>
      <c r="N229">
        <f t="shared" si="52"/>
        <v>-3.7755415610199239E-2</v>
      </c>
      <c r="P229">
        <f t="shared" si="46"/>
        <v>6.6046207557096519</v>
      </c>
      <c r="Q229">
        <f t="shared" si="60"/>
        <v>2.6813245262460539E-2</v>
      </c>
      <c r="T229">
        <f t="shared" si="47"/>
        <v>0.91338446678957963</v>
      </c>
      <c r="U229">
        <f t="shared" si="48"/>
        <v>8.6615533210420315E-2</v>
      </c>
      <c r="V229">
        <f t="shared" si="53"/>
        <v>2.6813245262460469E-2</v>
      </c>
      <c r="W229">
        <f t="shared" si="54"/>
        <v>6.9388939039072284E-17</v>
      </c>
      <c r="Y229">
        <f t="shared" si="55"/>
        <v>3.2843643580723399E-2</v>
      </c>
      <c r="Z229">
        <f t="shared" si="56"/>
        <v>-3.8486614903954726E-2</v>
      </c>
      <c r="AA229">
        <f t="shared" si="57"/>
        <v>2.6460069486052305E-2</v>
      </c>
    </row>
    <row r="230" spans="1:27" x14ac:dyDescent="0.3">
      <c r="A230" s="1">
        <v>44154</v>
      </c>
      <c r="B230">
        <v>408.98998999999998</v>
      </c>
      <c r="C230">
        <v>414.290009</v>
      </c>
      <c r="D230">
        <v>414.290009</v>
      </c>
      <c r="E230">
        <f t="shared" si="58"/>
        <v>0.99819294529747371</v>
      </c>
      <c r="F230">
        <f t="shared" si="49"/>
        <v>6.0216568449858947</v>
      </c>
      <c r="G230">
        <f t="shared" si="50"/>
        <v>-1.8070547025262895E-3</v>
      </c>
      <c r="I230">
        <v>36.860000999999997</v>
      </c>
      <c r="J230">
        <v>37.400002000000001</v>
      </c>
      <c r="K230">
        <v>36.247416999999999</v>
      </c>
      <c r="L230">
        <f t="shared" si="59"/>
        <v>1.0051061923916995</v>
      </c>
      <c r="M230">
        <f t="shared" si="51"/>
        <v>0.57498381086189831</v>
      </c>
      <c r="N230">
        <f t="shared" si="52"/>
        <v>5.1061923916995156E-3</v>
      </c>
      <c r="P230">
        <f t="shared" si="46"/>
        <v>6.5966406558477928</v>
      </c>
      <c r="Q230">
        <f t="shared" si="60"/>
        <v>-1.2082601192445752E-3</v>
      </c>
      <c r="T230">
        <f t="shared" ref="T230:T256" si="61">F230/P230</f>
        <v>0.91283687548567827</v>
      </c>
      <c r="U230">
        <f t="shared" ref="U230:U256" si="62">M230/P230</f>
        <v>8.716312451432176E-2</v>
      </c>
      <c r="V230">
        <f t="shared" si="53"/>
        <v>-1.2082601192445325E-3</v>
      </c>
      <c r="W230">
        <f t="shared" si="54"/>
        <v>4.2717565595928875E-17</v>
      </c>
      <c r="Y230">
        <f t="shared" si="55"/>
        <v>-1.8086893954918329E-3</v>
      </c>
      <c r="Z230">
        <f t="shared" si="56"/>
        <v>5.0932000003271003E-3</v>
      </c>
      <c r="AA230">
        <f t="shared" si="57"/>
        <v>-1.2089906540124259E-3</v>
      </c>
    </row>
    <row r="231" spans="1:27" x14ac:dyDescent="0.3">
      <c r="A231" s="1">
        <v>44155</v>
      </c>
      <c r="B231">
        <v>418.54998799999998</v>
      </c>
      <c r="C231">
        <v>439.60000600000001</v>
      </c>
      <c r="D231">
        <v>439.60000600000001</v>
      </c>
      <c r="E231">
        <f t="shared" si="58"/>
        <v>1.0610924628887202</v>
      </c>
      <c r="F231">
        <f t="shared" si="49"/>
        <v>6.3895346923168033</v>
      </c>
      <c r="G231">
        <f t="shared" si="50"/>
        <v>6.1092462888720167E-2</v>
      </c>
      <c r="I231">
        <v>37.349997999999999</v>
      </c>
      <c r="J231">
        <v>36.939999</v>
      </c>
      <c r="K231">
        <v>35.801594000000001</v>
      </c>
      <c r="L231">
        <f t="shared" si="59"/>
        <v>0.98770055808390433</v>
      </c>
      <c r="M231">
        <f t="shared" si="51"/>
        <v>0.56791183087750707</v>
      </c>
      <c r="N231">
        <f t="shared" si="52"/>
        <v>-1.2299441916095666E-2</v>
      </c>
      <c r="P231">
        <f t="shared" si="46"/>
        <v>6.9574465231943101</v>
      </c>
      <c r="Q231">
        <f t="shared" si="60"/>
        <v>5.4695395151874715E-2</v>
      </c>
      <c r="T231">
        <f t="shared" si="61"/>
        <v>0.91837352554788065</v>
      </c>
      <c r="U231">
        <f t="shared" si="62"/>
        <v>8.1626474452119374E-2</v>
      </c>
      <c r="V231">
        <f t="shared" si="53"/>
        <v>5.4695395151874757E-2</v>
      </c>
      <c r="W231">
        <f t="shared" si="54"/>
        <v>4.163336342344337E-17</v>
      </c>
      <c r="Y231">
        <f t="shared" si="55"/>
        <v>5.9299002760994014E-2</v>
      </c>
      <c r="Z231">
        <f t="shared" si="56"/>
        <v>-1.2375706034394734E-2</v>
      </c>
      <c r="AA231">
        <f t="shared" si="57"/>
        <v>5.325200026442338E-2</v>
      </c>
    </row>
    <row r="232" spans="1:27" x14ac:dyDescent="0.3">
      <c r="A232" s="1">
        <v>44158</v>
      </c>
      <c r="B232">
        <v>432.01001000000002</v>
      </c>
      <c r="C232">
        <v>430.27999899999998</v>
      </c>
      <c r="D232">
        <v>430.27999899999998</v>
      </c>
      <c r="E232">
        <f t="shared" si="58"/>
        <v>0.97879889246407326</v>
      </c>
      <c r="F232">
        <f t="shared" si="49"/>
        <v>6.2540694802004602</v>
      </c>
      <c r="G232">
        <f t="shared" si="50"/>
        <v>-2.1201107535926744E-2</v>
      </c>
      <c r="I232">
        <v>37.5</v>
      </c>
      <c r="J232">
        <v>39.360000999999997</v>
      </c>
      <c r="K232">
        <v>38.147015000000003</v>
      </c>
      <c r="L232">
        <f t="shared" si="59"/>
        <v>1.0655116361578763</v>
      </c>
      <c r="M232">
        <f t="shared" si="51"/>
        <v>0.60511666411170761</v>
      </c>
      <c r="N232">
        <f t="shared" si="52"/>
        <v>6.5511636157876252E-2</v>
      </c>
      <c r="P232">
        <f t="shared" si="46"/>
        <v>6.8591861443121678</v>
      </c>
      <c r="Q232">
        <f t="shared" si="60"/>
        <v>-1.4123051978131351E-2</v>
      </c>
      <c r="T232">
        <f t="shared" si="61"/>
        <v>0.91178010752580496</v>
      </c>
      <c r="U232">
        <f t="shared" si="62"/>
        <v>8.8219892474194997E-2</v>
      </c>
      <c r="V232">
        <f t="shared" si="53"/>
        <v>-1.412305197813136E-2</v>
      </c>
      <c r="W232">
        <f t="shared" si="54"/>
        <v>8.6736173798840355E-18</v>
      </c>
      <c r="Y232">
        <f t="shared" si="55"/>
        <v>-2.1429078938501274E-2</v>
      </c>
      <c r="Z232">
        <f t="shared" si="56"/>
        <v>6.3455093339583477E-2</v>
      </c>
      <c r="AA232">
        <f t="shared" si="57"/>
        <v>-1.4223731334027396E-2</v>
      </c>
    </row>
    <row r="233" spans="1:27" x14ac:dyDescent="0.3">
      <c r="A233" s="1">
        <v>44159</v>
      </c>
      <c r="B233">
        <v>421.50500499999998</v>
      </c>
      <c r="C233">
        <v>427.54998799999998</v>
      </c>
      <c r="D233">
        <v>427.54998799999998</v>
      </c>
      <c r="E233">
        <f t="shared" si="58"/>
        <v>0.99365526864752085</v>
      </c>
      <c r="F233">
        <f t="shared" si="49"/>
        <v>6.2143890894888489</v>
      </c>
      <c r="G233">
        <f t="shared" si="50"/>
        <v>-6.3447313524791493E-3</v>
      </c>
      <c r="I233">
        <v>40.509998000000003</v>
      </c>
      <c r="J233">
        <v>41.98</v>
      </c>
      <c r="K233">
        <v>40.686275000000002</v>
      </c>
      <c r="L233">
        <f t="shared" si="59"/>
        <v>1.06656510345567</v>
      </c>
      <c r="M233">
        <f t="shared" si="51"/>
        <v>0.6453963174610533</v>
      </c>
      <c r="N233">
        <f t="shared" si="52"/>
        <v>6.6565103455670016E-2</v>
      </c>
      <c r="P233">
        <f t="shared" si="46"/>
        <v>6.8597854069499018</v>
      </c>
      <c r="Q233">
        <f t="shared" si="60"/>
        <v>8.7366434607050181E-5</v>
      </c>
      <c r="T233">
        <f t="shared" si="61"/>
        <v>0.90591596104344929</v>
      </c>
      <c r="U233">
        <f t="shared" si="62"/>
        <v>9.4084038956550806E-2</v>
      </c>
      <c r="V233">
        <f t="shared" si="53"/>
        <v>8.7366434607090079E-5</v>
      </c>
      <c r="W233">
        <f t="shared" si="54"/>
        <v>3.9898639947466563E-17</v>
      </c>
      <c r="Y233">
        <f t="shared" si="55"/>
        <v>-6.3649447046654926E-3</v>
      </c>
      <c r="Z233">
        <f t="shared" si="56"/>
        <v>6.4443301093977348E-2</v>
      </c>
      <c r="AA233">
        <f t="shared" si="57"/>
        <v>8.736261838237388E-5</v>
      </c>
    </row>
    <row r="234" spans="1:27" x14ac:dyDescent="0.3">
      <c r="A234" s="1">
        <v>44160</v>
      </c>
      <c r="B234">
        <v>435.85000600000001</v>
      </c>
      <c r="C234">
        <v>443.72000100000002</v>
      </c>
      <c r="D234">
        <v>443.72000100000002</v>
      </c>
      <c r="E234">
        <f t="shared" si="58"/>
        <v>1.0378201694628513</v>
      </c>
      <c r="F234">
        <f t="shared" si="49"/>
        <v>6.4494183379614114</v>
      </c>
      <c r="G234">
        <f t="shared" si="50"/>
        <v>3.7820169462851272E-2</v>
      </c>
      <c r="I234">
        <v>41.669998</v>
      </c>
      <c r="J234">
        <v>40.810001</v>
      </c>
      <c r="K234">
        <v>39.552329999999998</v>
      </c>
      <c r="L234">
        <f t="shared" si="59"/>
        <v>0.97212954491410175</v>
      </c>
      <c r="M234">
        <f t="shared" si="51"/>
        <v>0.62740882838265088</v>
      </c>
      <c r="N234">
        <f t="shared" si="52"/>
        <v>-2.7870455085898249E-2</v>
      </c>
      <c r="P234">
        <f t="shared" si="46"/>
        <v>7.0768271663440618</v>
      </c>
      <c r="Q234">
        <f t="shared" si="60"/>
        <v>3.1639730183726567E-2</v>
      </c>
      <c r="T234">
        <f t="shared" si="61"/>
        <v>0.91134320315656736</v>
      </c>
      <c r="U234">
        <f t="shared" si="62"/>
        <v>8.8656796843432681E-2</v>
      </c>
      <c r="V234">
        <f t="shared" si="53"/>
        <v>3.1639730183726567E-2</v>
      </c>
      <c r="W234">
        <f t="shared" si="54"/>
        <v>0</v>
      </c>
      <c r="Y234">
        <f t="shared" si="55"/>
        <v>3.7122522589061277E-2</v>
      </c>
      <c r="Z234">
        <f t="shared" si="56"/>
        <v>-2.826620674164456E-2</v>
      </c>
      <c r="AA234">
        <f t="shared" si="57"/>
        <v>3.1149507451069137E-2</v>
      </c>
    </row>
    <row r="235" spans="1:27" x14ac:dyDescent="0.3">
      <c r="A235" s="1">
        <v>44162</v>
      </c>
      <c r="B235">
        <v>453.98998999999998</v>
      </c>
      <c r="C235">
        <v>471.60998499999999</v>
      </c>
      <c r="D235">
        <v>471.60998499999999</v>
      </c>
      <c r="E235">
        <f t="shared" si="58"/>
        <v>1.0628549173738959</v>
      </c>
      <c r="F235">
        <f t="shared" si="49"/>
        <v>6.8547959947036654</v>
      </c>
      <c r="G235">
        <f t="shared" si="50"/>
        <v>6.2854917373895924E-2</v>
      </c>
      <c r="I235">
        <v>40.700001</v>
      </c>
      <c r="J235">
        <v>40.189999</v>
      </c>
      <c r="K235">
        <v>38.951434999999996</v>
      </c>
      <c r="L235">
        <f t="shared" si="59"/>
        <v>0.98480759540588381</v>
      </c>
      <c r="M235">
        <f t="shared" si="51"/>
        <v>0.61787697961594124</v>
      </c>
      <c r="N235">
        <f t="shared" si="52"/>
        <v>-1.5192404594116193E-2</v>
      </c>
      <c r="P235">
        <f t="shared" si="46"/>
        <v>7.4726729743196065</v>
      </c>
      <c r="Q235">
        <f t="shared" si="60"/>
        <v>5.593549180600399E-2</v>
      </c>
      <c r="T235">
        <f t="shared" si="61"/>
        <v>0.9173151318491628</v>
      </c>
      <c r="U235">
        <f t="shared" si="62"/>
        <v>8.2684868150837212E-2</v>
      </c>
      <c r="V235">
        <f t="shared" si="53"/>
        <v>5.5935491806003892E-2</v>
      </c>
      <c r="W235">
        <f t="shared" si="54"/>
        <v>9.7144514654701197E-17</v>
      </c>
      <c r="Y235">
        <f t="shared" si="55"/>
        <v>6.0958605918848739E-2</v>
      </c>
      <c r="Z235">
        <f t="shared" si="56"/>
        <v>-1.5308991503654418E-2</v>
      </c>
      <c r="AA235">
        <f t="shared" si="57"/>
        <v>5.4427096113243867E-2</v>
      </c>
    </row>
    <row r="236" spans="1:27" x14ac:dyDescent="0.3">
      <c r="A236" s="1">
        <v>44165</v>
      </c>
      <c r="B236">
        <v>485.70001200000002</v>
      </c>
      <c r="C236">
        <v>478.35998499999999</v>
      </c>
      <c r="D236">
        <v>478.35998499999999</v>
      </c>
      <c r="E236">
        <f t="shared" si="58"/>
        <v>1.014312674062658</v>
      </c>
      <c r="F236">
        <f t="shared" si="49"/>
        <v>6.9529064555418723</v>
      </c>
      <c r="G236">
        <f t="shared" si="50"/>
        <v>1.4312674062658015E-2</v>
      </c>
      <c r="I236">
        <v>39.799999</v>
      </c>
      <c r="J236">
        <v>38.130001</v>
      </c>
      <c r="K236">
        <v>36.954922000000003</v>
      </c>
      <c r="L236">
        <f t="shared" si="59"/>
        <v>0.94874353152842783</v>
      </c>
      <c r="M236">
        <f t="shared" si="51"/>
        <v>0.58620678769094647</v>
      </c>
      <c r="N236">
        <f t="shared" si="52"/>
        <v>-5.125646847157217E-2</v>
      </c>
      <c r="P236">
        <f t="shared" si="46"/>
        <v>7.5391132432328192</v>
      </c>
      <c r="Q236">
        <f t="shared" si="60"/>
        <v>8.8910981574517045E-3</v>
      </c>
      <c r="T236">
        <f t="shared" si="61"/>
        <v>0.92224459710601481</v>
      </c>
      <c r="U236">
        <f t="shared" si="62"/>
        <v>7.7755402893985096E-2</v>
      </c>
      <c r="V236">
        <f t="shared" si="53"/>
        <v>8.8910981574517409E-3</v>
      </c>
      <c r="W236">
        <f t="shared" si="54"/>
        <v>3.6429192995512949E-17</v>
      </c>
      <c r="Y236">
        <f t="shared" si="55"/>
        <v>1.4211214700488358E-2</v>
      </c>
      <c r="Z236">
        <f t="shared" si="56"/>
        <v>-5.2616768183889391E-2</v>
      </c>
      <c r="AA236">
        <f t="shared" si="57"/>
        <v>8.8518050782264834E-3</v>
      </c>
    </row>
    <row r="237" spans="1:27" x14ac:dyDescent="0.3">
      <c r="A237" s="1">
        <v>44166</v>
      </c>
      <c r="B237">
        <v>434.72000100000002</v>
      </c>
      <c r="C237">
        <v>406.30999800000001</v>
      </c>
      <c r="D237">
        <v>406.30999800000001</v>
      </c>
      <c r="E237">
        <f t="shared" si="58"/>
        <v>0.84938124161869433</v>
      </c>
      <c r="F237">
        <f t="shared" si="49"/>
        <v>5.9056683180667902</v>
      </c>
      <c r="G237">
        <f t="shared" si="50"/>
        <v>-0.15061875838130567</v>
      </c>
      <c r="I237">
        <v>38.959999000000003</v>
      </c>
      <c r="J237">
        <v>38.5</v>
      </c>
      <c r="K237">
        <v>37.313518999999999</v>
      </c>
      <c r="L237">
        <f t="shared" si="59"/>
        <v>1.0097036329829081</v>
      </c>
      <c r="M237">
        <f t="shared" si="51"/>
        <v>0.59189512321078896</v>
      </c>
      <c r="N237">
        <f t="shared" si="52"/>
        <v>9.7036329829081058E-3</v>
      </c>
      <c r="P237">
        <f t="shared" si="46"/>
        <v>6.4975634412775793</v>
      </c>
      <c r="Q237">
        <f t="shared" si="60"/>
        <v>-0.13815282624785419</v>
      </c>
      <c r="T237">
        <f t="shared" si="61"/>
        <v>0.90890506440451035</v>
      </c>
      <c r="U237">
        <f t="shared" si="62"/>
        <v>9.1094935595489618E-2</v>
      </c>
      <c r="V237">
        <f t="shared" si="53"/>
        <v>-0.13815282624785405</v>
      </c>
      <c r="W237">
        <f t="shared" si="54"/>
        <v>1.3877787807814457E-16</v>
      </c>
      <c r="Y237">
        <f t="shared" si="55"/>
        <v>-0.16324714561961487</v>
      </c>
      <c r="Z237">
        <f t="shared" si="56"/>
        <v>9.6568551031826124E-3</v>
      </c>
      <c r="AA237">
        <f t="shared" si="57"/>
        <v>-0.14867731666756162</v>
      </c>
    </row>
    <row r="238" spans="1:27" x14ac:dyDescent="0.3">
      <c r="A238" s="1">
        <v>44167</v>
      </c>
      <c r="B238">
        <v>399</v>
      </c>
      <c r="C238">
        <v>412.85998499999999</v>
      </c>
      <c r="D238">
        <v>412.85998499999999</v>
      </c>
      <c r="E238">
        <f t="shared" si="58"/>
        <v>1.016120664104357</v>
      </c>
      <c r="F238">
        <f t="shared" si="49"/>
        <v>6.0008716133340876</v>
      </c>
      <c r="G238">
        <f t="shared" si="50"/>
        <v>1.6120664104356974E-2</v>
      </c>
      <c r="I238">
        <v>38.389999000000003</v>
      </c>
      <c r="J238">
        <v>39.939999</v>
      </c>
      <c r="K238">
        <v>38.709141000000002</v>
      </c>
      <c r="L238">
        <f t="shared" si="59"/>
        <v>1.0374025832299549</v>
      </c>
      <c r="M238">
        <f t="shared" si="51"/>
        <v>0.61403352982008497</v>
      </c>
      <c r="N238">
        <f t="shared" si="52"/>
        <v>3.7402583229954933E-2</v>
      </c>
      <c r="P238">
        <f t="shared" si="46"/>
        <v>6.6149051431541723</v>
      </c>
      <c r="Q238">
        <f t="shared" si="60"/>
        <v>1.8059339156451637E-2</v>
      </c>
      <c r="T238">
        <f t="shared" si="61"/>
        <v>0.90717425019230191</v>
      </c>
      <c r="U238">
        <f t="shared" si="62"/>
        <v>9.2825749807698157E-2</v>
      </c>
      <c r="V238">
        <f t="shared" si="53"/>
        <v>1.8059339156451738E-2</v>
      </c>
      <c r="W238">
        <f t="shared" si="54"/>
        <v>1.0061396160665481E-16</v>
      </c>
      <c r="Y238">
        <f t="shared" si="55"/>
        <v>1.5992105986659736E-2</v>
      </c>
      <c r="Z238">
        <f t="shared" si="56"/>
        <v>3.6720073032269658E-2</v>
      </c>
      <c r="AA238">
        <f t="shared" si="57"/>
        <v>1.7898206367113884E-2</v>
      </c>
    </row>
    <row r="239" spans="1:27" x14ac:dyDescent="0.3">
      <c r="A239" s="1">
        <v>44168</v>
      </c>
      <c r="B239">
        <v>413</v>
      </c>
      <c r="C239">
        <v>413.540009</v>
      </c>
      <c r="D239">
        <v>413.540009</v>
      </c>
      <c r="E239">
        <f t="shared" si="58"/>
        <v>1.0016471056162055</v>
      </c>
      <c r="F239">
        <f t="shared" si="49"/>
        <v>6.0107556826705384</v>
      </c>
      <c r="G239">
        <f t="shared" si="50"/>
        <v>1.6471056162055131E-3</v>
      </c>
      <c r="I239">
        <v>40.07</v>
      </c>
      <c r="J239">
        <v>40.209999000000003</v>
      </c>
      <c r="K239">
        <v>38.970821000000001</v>
      </c>
      <c r="L239">
        <f t="shared" si="59"/>
        <v>1.0067601603455887</v>
      </c>
      <c r="M239">
        <f t="shared" si="51"/>
        <v>0.61818449493923655</v>
      </c>
      <c r="N239">
        <f t="shared" si="52"/>
        <v>6.7601603455886838E-3</v>
      </c>
      <c r="P239">
        <f t="shared" si="46"/>
        <v>6.6289401776097749</v>
      </c>
      <c r="Q239">
        <f t="shared" si="60"/>
        <v>2.1217287552683928E-3</v>
      </c>
      <c r="T239">
        <f t="shared" si="61"/>
        <v>0.90674459591184031</v>
      </c>
      <c r="U239">
        <f t="shared" si="62"/>
        <v>9.3255404088159674E-2</v>
      </c>
      <c r="V239">
        <f t="shared" si="53"/>
        <v>2.121728755268303E-3</v>
      </c>
      <c r="W239">
        <f t="shared" si="54"/>
        <v>8.9771939881799767E-17</v>
      </c>
      <c r="Y239">
        <f t="shared" si="55"/>
        <v>1.6457506254212875E-3</v>
      </c>
      <c r="Z239">
        <f t="shared" si="56"/>
        <v>6.7374129215832298E-3</v>
      </c>
      <c r="AA239">
        <f t="shared" si="57"/>
        <v>2.1194810675738331E-3</v>
      </c>
    </row>
    <row r="240" spans="1:27" x14ac:dyDescent="0.3">
      <c r="A240" s="1">
        <v>44169</v>
      </c>
      <c r="B240">
        <v>409.26001000000002</v>
      </c>
      <c r="C240">
        <v>410.01001000000002</v>
      </c>
      <c r="D240">
        <v>410.01001000000002</v>
      </c>
      <c r="E240">
        <f t="shared" si="58"/>
        <v>0.99146394805055016</v>
      </c>
      <c r="F240">
        <f t="shared" si="49"/>
        <v>5.9594475599078116</v>
      </c>
      <c r="G240">
        <f t="shared" si="50"/>
        <v>-8.536051949449841E-3</v>
      </c>
      <c r="I240">
        <v>40.770000000000003</v>
      </c>
      <c r="J240">
        <v>41.68</v>
      </c>
      <c r="K240">
        <v>40.395519</v>
      </c>
      <c r="L240">
        <f t="shared" si="59"/>
        <v>1.0365580699467429</v>
      </c>
      <c r="M240">
        <f t="shared" si="51"/>
        <v>0.64078412694521714</v>
      </c>
      <c r="N240">
        <f t="shared" si="52"/>
        <v>3.6558069946742933E-2</v>
      </c>
      <c r="P240">
        <f t="shared" si="46"/>
        <v>6.6002316868530286</v>
      </c>
      <c r="Q240">
        <f t="shared" si="60"/>
        <v>-4.3307813900197445E-3</v>
      </c>
      <c r="T240">
        <f t="shared" si="61"/>
        <v>0.90291490399926533</v>
      </c>
      <c r="U240">
        <f t="shared" si="62"/>
        <v>9.7085096000734658E-2</v>
      </c>
      <c r="V240">
        <f t="shared" si="53"/>
        <v>-4.3307813900196543E-3</v>
      </c>
      <c r="W240">
        <f t="shared" si="54"/>
        <v>9.0205620750793969E-17</v>
      </c>
      <c r="Y240">
        <f t="shared" si="55"/>
        <v>-8.5726927014679512E-3</v>
      </c>
      <c r="Z240">
        <f t="shared" si="56"/>
        <v>3.590567635739076E-2</v>
      </c>
      <c r="AA240">
        <f t="shared" si="57"/>
        <v>-4.3401863875585566E-3</v>
      </c>
    </row>
    <row r="241" spans="1:27" x14ac:dyDescent="0.3">
      <c r="A241" s="1">
        <v>44172</v>
      </c>
      <c r="B241">
        <v>411</v>
      </c>
      <c r="C241">
        <v>407.85000600000001</v>
      </c>
      <c r="D241">
        <v>407.85000600000001</v>
      </c>
      <c r="E241">
        <f t="shared" si="58"/>
        <v>0.99473182618151201</v>
      </c>
      <c r="F241">
        <f t="shared" si="49"/>
        <v>5.9280521543000528</v>
      </c>
      <c r="G241">
        <f t="shared" si="50"/>
        <v>-5.2681738184879867E-3</v>
      </c>
      <c r="I241">
        <v>41.419998</v>
      </c>
      <c r="J241">
        <v>40.900002000000001</v>
      </c>
      <c r="K241">
        <v>39.639557000000003</v>
      </c>
      <c r="L241">
        <f t="shared" si="59"/>
        <v>0.98128599362716451</v>
      </c>
      <c r="M241">
        <f t="shared" si="51"/>
        <v>0.62879248870995252</v>
      </c>
      <c r="N241">
        <f t="shared" si="52"/>
        <v>-1.871400637283549E-2</v>
      </c>
      <c r="P241">
        <f t="shared" si="46"/>
        <v>6.5568446430100051</v>
      </c>
      <c r="Q241">
        <f t="shared" si="60"/>
        <v>-6.5735637628366872E-3</v>
      </c>
      <c r="T241">
        <f t="shared" si="61"/>
        <v>0.90410135927495505</v>
      </c>
      <c r="U241">
        <f t="shared" si="62"/>
        <v>9.5898640725045017E-2</v>
      </c>
      <c r="V241">
        <f t="shared" si="53"/>
        <v>-6.5735637628366178E-3</v>
      </c>
      <c r="W241">
        <f t="shared" si="54"/>
        <v>6.9388939039072284E-17</v>
      </c>
      <c r="Y241">
        <f t="shared" si="55"/>
        <v>-5.2820995765872755E-3</v>
      </c>
      <c r="Z241">
        <f t="shared" si="56"/>
        <v>-1.8891329154785339E-2</v>
      </c>
      <c r="AA241">
        <f t="shared" si="57"/>
        <v>-6.5952647874347077E-3</v>
      </c>
    </row>
    <row r="242" spans="1:27" x14ac:dyDescent="0.3">
      <c r="A242" s="1">
        <v>44173</v>
      </c>
      <c r="B242">
        <v>408.86999500000002</v>
      </c>
      <c r="C242">
        <v>412</v>
      </c>
      <c r="D242">
        <v>412</v>
      </c>
      <c r="E242">
        <f t="shared" si="58"/>
        <v>1.0101752946890969</v>
      </c>
      <c r="F242">
        <f t="shared" si="49"/>
        <v>5.9883718319023922</v>
      </c>
      <c r="G242">
        <f t="shared" si="50"/>
        <v>1.0175294689096948E-2</v>
      </c>
      <c r="I242">
        <v>40.529998999999997</v>
      </c>
      <c r="J242">
        <v>42.240001999999997</v>
      </c>
      <c r="K242">
        <v>40.938259000000002</v>
      </c>
      <c r="L242">
        <f t="shared" si="59"/>
        <v>1.0327627778484003</v>
      </c>
      <c r="M242">
        <f t="shared" si="51"/>
        <v>0.64939347733029951</v>
      </c>
      <c r="N242">
        <f t="shared" si="52"/>
        <v>3.2762777848400315E-2</v>
      </c>
      <c r="P242">
        <f t="shared" si="46"/>
        <v>6.6377653092326918</v>
      </c>
      <c r="Q242">
        <f t="shared" si="60"/>
        <v>1.2341403621474178E-2</v>
      </c>
      <c r="T242">
        <f t="shared" si="61"/>
        <v>0.9021668517826269</v>
      </c>
      <c r="U242">
        <f t="shared" si="62"/>
        <v>9.7833148217373128E-2</v>
      </c>
      <c r="V242">
        <f t="shared" si="53"/>
        <v>1.2341403621473986E-2</v>
      </c>
      <c r="W242">
        <f t="shared" si="54"/>
        <v>1.9255430583342559E-16</v>
      </c>
      <c r="Y242">
        <f t="shared" si="55"/>
        <v>1.0123874891646069E-2</v>
      </c>
      <c r="Z242">
        <f t="shared" si="56"/>
        <v>3.2237519862495838E-2</v>
      </c>
      <c r="AA242">
        <f t="shared" si="57"/>
        <v>1.226586933093796E-2</v>
      </c>
    </row>
    <row r="243" spans="1:27" x14ac:dyDescent="0.3">
      <c r="A243" s="1">
        <v>44174</v>
      </c>
      <c r="B243">
        <v>406.74798600000003</v>
      </c>
      <c r="C243">
        <v>385.35998499999999</v>
      </c>
      <c r="D243">
        <v>385.35998499999999</v>
      </c>
      <c r="E243">
        <f t="shared" si="58"/>
        <v>0.93533976941747576</v>
      </c>
      <c r="F243">
        <f t="shared" si="49"/>
        <v>5.6011623284376908</v>
      </c>
      <c r="G243">
        <f t="shared" si="50"/>
        <v>-6.4660230582524236E-2</v>
      </c>
      <c r="I243">
        <v>42.709999000000003</v>
      </c>
      <c r="J243">
        <v>42.799999</v>
      </c>
      <c r="K243">
        <v>41.481003000000001</v>
      </c>
      <c r="L243">
        <f t="shared" si="59"/>
        <v>1.0132576228998893</v>
      </c>
      <c r="M243">
        <f t="shared" si="51"/>
        <v>0.65800289116639243</v>
      </c>
      <c r="N243">
        <f t="shared" si="52"/>
        <v>1.3257622899889299E-2</v>
      </c>
      <c r="P243">
        <f t="shared" si="46"/>
        <v>6.2591652196040837</v>
      </c>
      <c r="Q243">
        <f t="shared" si="60"/>
        <v>-5.7037281673999574E-2</v>
      </c>
      <c r="T243">
        <f t="shared" si="61"/>
        <v>0.89487369831595309</v>
      </c>
      <c r="U243">
        <f t="shared" si="62"/>
        <v>0.10512630168404688</v>
      </c>
      <c r="V243">
        <f t="shared" si="53"/>
        <v>-5.7037281673999712E-2</v>
      </c>
      <c r="W243">
        <f t="shared" si="54"/>
        <v>1.3877787807814457E-16</v>
      </c>
      <c r="Y243">
        <f t="shared" si="55"/>
        <v>-6.6845425952203649E-2</v>
      </c>
      <c r="Z243">
        <f t="shared" si="56"/>
        <v>1.3170509715242217E-2</v>
      </c>
      <c r="AA243">
        <f t="shared" si="57"/>
        <v>-5.8728532309430169E-2</v>
      </c>
    </row>
    <row r="244" spans="1:27" x14ac:dyDescent="0.3">
      <c r="A244" s="1">
        <v>44175</v>
      </c>
      <c r="B244">
        <v>382.73001099999999</v>
      </c>
      <c r="C244">
        <v>397.959991</v>
      </c>
      <c r="D244">
        <v>397.959991</v>
      </c>
      <c r="E244">
        <f t="shared" si="58"/>
        <v>1.0326967160329321</v>
      </c>
      <c r="F244">
        <f t="shared" si="49"/>
        <v>5.7843019425449747</v>
      </c>
      <c r="G244">
        <f t="shared" si="50"/>
        <v>3.2696716032932116E-2</v>
      </c>
      <c r="I244">
        <v>43.200001</v>
      </c>
      <c r="J244">
        <v>44.009998000000003</v>
      </c>
      <c r="K244">
        <v>42.653708999999999</v>
      </c>
      <c r="L244">
        <f t="shared" si="59"/>
        <v>1.0282709171714097</v>
      </c>
      <c r="M244">
        <f t="shared" si="51"/>
        <v>0.67660523640110559</v>
      </c>
      <c r="N244">
        <f t="shared" si="52"/>
        <v>2.8270917171409726E-2</v>
      </c>
      <c r="P244">
        <f t="shared" si="46"/>
        <v>6.4609071789460799</v>
      </c>
      <c r="Q244">
        <f t="shared" si="60"/>
        <v>3.22314481666226E-2</v>
      </c>
      <c r="T244">
        <f t="shared" si="61"/>
        <v>0.89527705356827691</v>
      </c>
      <c r="U244">
        <f t="shared" si="62"/>
        <v>0.10472294643172311</v>
      </c>
      <c r="V244">
        <f t="shared" si="53"/>
        <v>3.2231448166622802E-2</v>
      </c>
      <c r="W244">
        <f t="shared" si="54"/>
        <v>2.0122792321330962E-16</v>
      </c>
      <c r="Y244">
        <f t="shared" si="55"/>
        <v>3.2173551708497734E-2</v>
      </c>
      <c r="Z244">
        <f t="shared" si="56"/>
        <v>2.7878670417391182E-2</v>
      </c>
      <c r="AA244">
        <f t="shared" si="57"/>
        <v>3.1722913393567725E-2</v>
      </c>
    </row>
    <row r="245" spans="1:27" x14ac:dyDescent="0.3">
      <c r="A245" s="1">
        <v>44176</v>
      </c>
      <c r="B245">
        <v>395.35000600000001</v>
      </c>
      <c r="C245">
        <v>397.01001000000002</v>
      </c>
      <c r="D245">
        <v>397.01001000000002</v>
      </c>
      <c r="E245">
        <f t="shared" si="58"/>
        <v>0.99761287309909508</v>
      </c>
      <c r="F245">
        <f t="shared" si="49"/>
        <v>5.7704940797749691</v>
      </c>
      <c r="G245">
        <f t="shared" si="50"/>
        <v>-2.3871269009049234E-3</v>
      </c>
      <c r="I245">
        <v>43.700001</v>
      </c>
      <c r="J245">
        <v>43.799999</v>
      </c>
      <c r="K245">
        <v>42.450184</v>
      </c>
      <c r="L245">
        <f t="shared" si="59"/>
        <v>0.99522843371018455</v>
      </c>
      <c r="M245">
        <f t="shared" si="51"/>
        <v>0.67337676966358151</v>
      </c>
      <c r="N245">
        <f t="shared" si="52"/>
        <v>-4.7715662898154543E-3</v>
      </c>
      <c r="P245">
        <f t="shared" si="46"/>
        <v>6.4438708494385502</v>
      </c>
      <c r="Q245">
        <f t="shared" si="60"/>
        <v>-2.6368324192994619E-3</v>
      </c>
      <c r="T245">
        <f t="shared" si="61"/>
        <v>0.89550120022621937</v>
      </c>
      <c r="U245">
        <f t="shared" si="62"/>
        <v>0.10449879977378075</v>
      </c>
      <c r="V245">
        <f t="shared" si="53"/>
        <v>-2.6368324192994918E-3</v>
      </c>
      <c r="W245">
        <f t="shared" si="54"/>
        <v>2.9923979960599922E-17</v>
      </c>
      <c r="Y245">
        <f t="shared" si="55"/>
        <v>-2.3899806307067961E-3</v>
      </c>
      <c r="Z245">
        <f t="shared" si="56"/>
        <v>-4.7829865550952019E-3</v>
      </c>
      <c r="AA245">
        <f t="shared" si="57"/>
        <v>-2.6403149852121076E-3</v>
      </c>
    </row>
    <row r="246" spans="1:27" x14ac:dyDescent="0.3">
      <c r="A246" s="1">
        <v>44179</v>
      </c>
      <c r="B246">
        <v>388.95001200000002</v>
      </c>
      <c r="C246">
        <v>395.98998999999998</v>
      </c>
      <c r="D246">
        <v>395.98998999999998</v>
      </c>
      <c r="E246">
        <f t="shared" si="58"/>
        <v>0.99743074488222594</v>
      </c>
      <c r="F246">
        <f t="shared" si="49"/>
        <v>5.7556682083284221</v>
      </c>
      <c r="G246">
        <f t="shared" si="50"/>
        <v>-2.5692551177740608E-3</v>
      </c>
      <c r="I246">
        <v>44.34</v>
      </c>
      <c r="J246">
        <v>42.220001000000003</v>
      </c>
      <c r="K246">
        <v>40.918877000000002</v>
      </c>
      <c r="L246">
        <f t="shared" si="59"/>
        <v>0.96392696436839953</v>
      </c>
      <c r="M246">
        <f t="shared" si="51"/>
        <v>0.64908602545801508</v>
      </c>
      <c r="N246">
        <f t="shared" si="52"/>
        <v>-3.607303563160047E-2</v>
      </c>
      <c r="P246">
        <f t="shared" si="46"/>
        <v>6.4047542337864369</v>
      </c>
      <c r="Q246">
        <f t="shared" si="60"/>
        <v>-6.0703599693531229E-3</v>
      </c>
      <c r="T246">
        <f t="shared" si="61"/>
        <v>0.89865559211718871</v>
      </c>
      <c r="U246">
        <f t="shared" si="62"/>
        <v>0.10134440788281128</v>
      </c>
      <c r="V246">
        <f t="shared" si="53"/>
        <v>-6.0703599693531039E-3</v>
      </c>
      <c r="W246">
        <f t="shared" si="54"/>
        <v>1.9081958235744878E-17</v>
      </c>
      <c r="Y246">
        <f t="shared" si="55"/>
        <v>-2.572561317899361E-3</v>
      </c>
      <c r="Z246">
        <f t="shared" si="56"/>
        <v>-3.6739750345080306E-2</v>
      </c>
      <c r="AA246">
        <f t="shared" si="57"/>
        <v>-6.0888595083341511E-3</v>
      </c>
    </row>
    <row r="247" spans="1:27" x14ac:dyDescent="0.3">
      <c r="A247" s="1">
        <v>44180</v>
      </c>
      <c r="B247">
        <v>398.50500499999998</v>
      </c>
      <c r="C247">
        <v>399.42999300000002</v>
      </c>
      <c r="D247">
        <v>399.42999300000002</v>
      </c>
      <c r="E247">
        <f t="shared" si="58"/>
        <v>1.0086870958531049</v>
      </c>
      <c r="F247">
        <f t="shared" si="49"/>
        <v>5.8056682497528396</v>
      </c>
      <c r="G247">
        <f t="shared" si="50"/>
        <v>8.6870958531048981E-3</v>
      </c>
      <c r="I247">
        <v>42.439999</v>
      </c>
      <c r="J247">
        <v>43.040000999999997</v>
      </c>
      <c r="K247">
        <v>41.713603999999997</v>
      </c>
      <c r="L247">
        <f t="shared" si="59"/>
        <v>1.0194220139521424</v>
      </c>
      <c r="M247">
        <f t="shared" si="51"/>
        <v>0.66169258330060132</v>
      </c>
      <c r="N247">
        <f t="shared" si="52"/>
        <v>1.9422013952142381E-2</v>
      </c>
      <c r="P247">
        <f t="shared" si="46"/>
        <v>6.4673608330534407</v>
      </c>
      <c r="Q247">
        <f t="shared" si="60"/>
        <v>9.7750197715222864E-3</v>
      </c>
      <c r="T247">
        <f t="shared" si="61"/>
        <v>0.89768738742412246</v>
      </c>
      <c r="U247">
        <f t="shared" si="62"/>
        <v>0.10231261257587754</v>
      </c>
      <c r="V247">
        <f t="shared" si="53"/>
        <v>9.7750197715223263E-3</v>
      </c>
      <c r="W247">
        <f t="shared" si="54"/>
        <v>3.9898639947466563E-17</v>
      </c>
      <c r="Y247">
        <f t="shared" si="55"/>
        <v>8.6495801477156024E-3</v>
      </c>
      <c r="Z247">
        <f t="shared" si="56"/>
        <v>1.9235813699603834E-2</v>
      </c>
      <c r="AA247">
        <f t="shared" si="57"/>
        <v>9.7275533386371425E-3</v>
      </c>
    </row>
    <row r="248" spans="1:27" x14ac:dyDescent="0.3">
      <c r="A248" s="1">
        <v>44181</v>
      </c>
      <c r="B248">
        <v>400.48599200000001</v>
      </c>
      <c r="C248">
        <v>404</v>
      </c>
      <c r="D248">
        <v>404</v>
      </c>
      <c r="E248">
        <f t="shared" si="58"/>
        <v>1.0114413215834794</v>
      </c>
      <c r="F248">
        <f t="shared" si="49"/>
        <v>5.8720927672052579</v>
      </c>
      <c r="G248">
        <f t="shared" si="50"/>
        <v>1.1441321583479436E-2</v>
      </c>
      <c r="I248">
        <v>43.75</v>
      </c>
      <c r="J248">
        <v>43.700001</v>
      </c>
      <c r="K248">
        <v>42.353268</v>
      </c>
      <c r="L248">
        <f t="shared" si="59"/>
        <v>1.0153346615650856</v>
      </c>
      <c r="M248">
        <f t="shared" si="51"/>
        <v>0.67183941512564327</v>
      </c>
      <c r="N248">
        <f t="shared" si="52"/>
        <v>1.5334661565085561E-2</v>
      </c>
      <c r="P248">
        <f t="shared" si="46"/>
        <v>6.5439321823309013</v>
      </c>
      <c r="Q248">
        <f t="shared" si="60"/>
        <v>1.1839659368643618E-2</v>
      </c>
      <c r="T248">
        <f t="shared" si="61"/>
        <v>0.89733398873850501</v>
      </c>
      <c r="U248">
        <f t="shared" si="62"/>
        <v>0.10266601126149491</v>
      </c>
      <c r="V248">
        <f t="shared" si="53"/>
        <v>1.1839659368643677E-2</v>
      </c>
      <c r="W248">
        <f t="shared" si="54"/>
        <v>5.8980598183211441E-17</v>
      </c>
      <c r="Y248">
        <f t="shared" si="55"/>
        <v>1.1376364656220085E-2</v>
      </c>
      <c r="Z248">
        <f t="shared" si="56"/>
        <v>1.5218273977102776E-2</v>
      </c>
      <c r="AA248">
        <f t="shared" si="57"/>
        <v>1.1770118953384819E-2</v>
      </c>
    </row>
    <row r="249" spans="1:27" x14ac:dyDescent="0.3">
      <c r="A249" s="1">
        <v>44182</v>
      </c>
      <c r="B249">
        <v>408.72000100000002</v>
      </c>
      <c r="C249">
        <v>401.61999500000002</v>
      </c>
      <c r="D249">
        <v>401.61999500000002</v>
      </c>
      <c r="E249">
        <f t="shared" si="58"/>
        <v>0.99410889851485151</v>
      </c>
      <c r="F249">
        <f t="shared" si="49"/>
        <v>5.8374996727834452</v>
      </c>
      <c r="G249">
        <f t="shared" si="50"/>
        <v>-5.8911014851484866E-3</v>
      </c>
      <c r="I249">
        <v>44</v>
      </c>
      <c r="J249">
        <v>43.48</v>
      </c>
      <c r="K249">
        <v>42.140045000000001</v>
      </c>
      <c r="L249">
        <f t="shared" si="59"/>
        <v>0.99496560690428892</v>
      </c>
      <c r="M249">
        <f t="shared" si="51"/>
        <v>0.66845711141270814</v>
      </c>
      <c r="N249">
        <f t="shared" si="52"/>
        <v>-5.0343930957110761E-3</v>
      </c>
      <c r="P249">
        <f t="shared" si="46"/>
        <v>6.5059567841961536</v>
      </c>
      <c r="Q249">
        <f t="shared" si="60"/>
        <v>-5.8031466519906649E-3</v>
      </c>
      <c r="T249">
        <f t="shared" si="61"/>
        <v>0.89725460319126604</v>
      </c>
      <c r="U249">
        <f t="shared" si="62"/>
        <v>0.1027453968087339</v>
      </c>
      <c r="V249">
        <f t="shared" si="53"/>
        <v>-5.8031466519906875E-3</v>
      </c>
      <c r="W249">
        <f t="shared" si="54"/>
        <v>2.2551405187698492E-17</v>
      </c>
      <c r="Y249">
        <f t="shared" si="55"/>
        <v>-5.9085224764156468E-3</v>
      </c>
      <c r="Z249">
        <f t="shared" si="56"/>
        <v>-5.0471083462974107E-3</v>
      </c>
      <c r="AA249">
        <f t="shared" si="57"/>
        <v>-5.8200503356165903E-3</v>
      </c>
    </row>
    <row r="250" spans="1:27" x14ac:dyDescent="0.3">
      <c r="A250" s="1">
        <v>44183</v>
      </c>
      <c r="B250">
        <v>403.79998799999998</v>
      </c>
      <c r="C250">
        <v>406.01001000000002</v>
      </c>
      <c r="D250">
        <v>406.01001000000002</v>
      </c>
      <c r="E250">
        <f t="shared" si="58"/>
        <v>1.0109307680261288</v>
      </c>
      <c r="F250">
        <f t="shared" si="49"/>
        <v>5.901308027559244</v>
      </c>
      <c r="G250">
        <f t="shared" si="50"/>
        <v>1.0930768026128801E-2</v>
      </c>
      <c r="I250">
        <v>43.27</v>
      </c>
      <c r="J250">
        <v>42.73</v>
      </c>
      <c r="K250">
        <v>41.413158000000003</v>
      </c>
      <c r="L250">
        <f t="shared" si="59"/>
        <v>0.98275068287183842</v>
      </c>
      <c r="M250">
        <f t="shared" si="51"/>
        <v>0.65692668271137555</v>
      </c>
      <c r="N250">
        <f t="shared" si="52"/>
        <v>-1.7249317128161579E-2</v>
      </c>
      <c r="P250">
        <f t="shared" si="46"/>
        <v>6.5582347102706198</v>
      </c>
      <c r="Q250">
        <f t="shared" si="60"/>
        <v>8.0353939948474284E-3</v>
      </c>
      <c r="T250">
        <f t="shared" si="61"/>
        <v>0.89983178221990345</v>
      </c>
      <c r="U250">
        <f t="shared" si="62"/>
        <v>0.10016821778009651</v>
      </c>
      <c r="V250">
        <f t="shared" si="53"/>
        <v>8.0353939948473226E-3</v>
      </c>
      <c r="W250">
        <f t="shared" si="54"/>
        <v>1.0581813203458523E-16</v>
      </c>
      <c r="Y250">
        <f t="shared" si="55"/>
        <v>1.0871458985478295E-2</v>
      </c>
      <c r="Z250">
        <f t="shared" si="56"/>
        <v>-1.73998198222674E-2</v>
      </c>
      <c r="AA250">
        <f t="shared" si="57"/>
        <v>8.0032821228531725E-3</v>
      </c>
    </row>
    <row r="251" spans="1:27" x14ac:dyDescent="0.3">
      <c r="A251" s="1">
        <v>44186</v>
      </c>
      <c r="B251">
        <v>418.07000699999998</v>
      </c>
      <c r="C251">
        <v>408.97000100000002</v>
      </c>
      <c r="D251">
        <v>408.97000100000002</v>
      </c>
      <c r="E251">
        <f t="shared" si="58"/>
        <v>1.0072904384795833</v>
      </c>
      <c r="F251">
        <f t="shared" si="49"/>
        <v>5.9443311506832357</v>
      </c>
      <c r="G251">
        <f t="shared" si="50"/>
        <v>7.2904384795833277E-3</v>
      </c>
      <c r="I251">
        <v>41.110000999999997</v>
      </c>
      <c r="J251">
        <v>41.950001</v>
      </c>
      <c r="K251">
        <v>40.657200000000003</v>
      </c>
      <c r="L251">
        <f t="shared" si="59"/>
        <v>0.98174594654191794</v>
      </c>
      <c r="M251">
        <f t="shared" si="51"/>
        <v>0.64493510792712161</v>
      </c>
      <c r="N251">
        <f t="shared" si="52"/>
        <v>-1.8254053458082065E-2</v>
      </c>
      <c r="P251">
        <f t="shared" si="46"/>
        <v>6.5892662586103574</v>
      </c>
      <c r="Q251">
        <f t="shared" si="60"/>
        <v>4.7316922480893364E-3</v>
      </c>
      <c r="T251">
        <f t="shared" si="61"/>
        <v>0.90212338026493177</v>
      </c>
      <c r="U251">
        <f t="shared" si="62"/>
        <v>9.7876619735068213E-2</v>
      </c>
      <c r="V251">
        <f t="shared" si="53"/>
        <v>4.7316922480893408E-3</v>
      </c>
      <c r="W251">
        <f t="shared" si="54"/>
        <v>4.3368086899420177E-18</v>
      </c>
      <c r="Y251">
        <f t="shared" si="55"/>
        <v>7.2639916942884965E-3</v>
      </c>
      <c r="Z251">
        <f t="shared" si="56"/>
        <v>-1.8422714341385062E-2</v>
      </c>
      <c r="AA251">
        <f t="shared" si="57"/>
        <v>4.7205329799603953E-3</v>
      </c>
    </row>
    <row r="252" spans="1:27" x14ac:dyDescent="0.3">
      <c r="A252" s="1">
        <v>44187</v>
      </c>
      <c r="B252">
        <v>408.5</v>
      </c>
      <c r="C252">
        <v>409</v>
      </c>
      <c r="D252">
        <v>409</v>
      </c>
      <c r="E252">
        <f t="shared" si="58"/>
        <v>1.0000733525684686</v>
      </c>
      <c r="F252">
        <f t="shared" si="49"/>
        <v>5.944767182640966</v>
      </c>
      <c r="G252">
        <f t="shared" si="50"/>
        <v>7.3352568468632029E-5</v>
      </c>
      <c r="I252">
        <v>41.580002</v>
      </c>
      <c r="J252">
        <v>41.240001999999997</v>
      </c>
      <c r="K252">
        <v>39.969082</v>
      </c>
      <c r="L252">
        <f t="shared" si="59"/>
        <v>0.98307512568499544</v>
      </c>
      <c r="M252">
        <f t="shared" si="51"/>
        <v>0.63401966228412121</v>
      </c>
      <c r="N252">
        <f t="shared" si="52"/>
        <v>-1.6924874315004557E-2</v>
      </c>
      <c r="P252">
        <f t="shared" si="46"/>
        <v>6.5787868449250873</v>
      </c>
      <c r="Q252">
        <f t="shared" si="60"/>
        <v>-1.5903764203755166E-3</v>
      </c>
      <c r="T252">
        <f t="shared" si="61"/>
        <v>0.90362665986462121</v>
      </c>
      <c r="U252">
        <f t="shared" si="62"/>
        <v>9.6373340135378835E-2</v>
      </c>
      <c r="V252">
        <f t="shared" si="53"/>
        <v>-1.5903764203754869E-3</v>
      </c>
      <c r="W252">
        <f t="shared" si="54"/>
        <v>2.9707139526102821E-17</v>
      </c>
      <c r="Y252">
        <f t="shared" si="55"/>
        <v>7.3349878300534575E-5</v>
      </c>
      <c r="Z252">
        <f t="shared" si="56"/>
        <v>-1.7069736846766125E-2</v>
      </c>
      <c r="AA252">
        <f t="shared" si="57"/>
        <v>-1.5916424114009872E-3</v>
      </c>
    </row>
    <row r="253" spans="1:27" x14ac:dyDescent="0.3">
      <c r="A253" s="1">
        <v>44188</v>
      </c>
      <c r="B253">
        <v>402</v>
      </c>
      <c r="C253">
        <v>383.88000499999998</v>
      </c>
      <c r="D253">
        <v>383.88000499999998</v>
      </c>
      <c r="E253">
        <f t="shared" si="58"/>
        <v>0.93858191931540336</v>
      </c>
      <c r="F253">
        <f t="shared" si="49"/>
        <v>5.5796509921663811</v>
      </c>
      <c r="G253">
        <f t="shared" si="50"/>
        <v>-6.1418080684596643E-2</v>
      </c>
      <c r="I253">
        <v>41.509998000000003</v>
      </c>
      <c r="J253">
        <v>41.77</v>
      </c>
      <c r="K253">
        <v>40.482745999999999</v>
      </c>
      <c r="L253">
        <f t="shared" si="59"/>
        <v>1.0128515335928905</v>
      </c>
      <c r="M253">
        <f t="shared" si="51"/>
        <v>0.64216778727251866</v>
      </c>
      <c r="N253">
        <f t="shared" si="52"/>
        <v>1.2851533592890485E-2</v>
      </c>
      <c r="P253">
        <f t="shared" si="46"/>
        <v>6.2218187794388999</v>
      </c>
      <c r="Q253">
        <f t="shared" si="60"/>
        <v>-5.4260469886108886E-2</v>
      </c>
      <c r="T253">
        <f t="shared" si="61"/>
        <v>0.8967877705800954</v>
      </c>
      <c r="U253">
        <f t="shared" si="62"/>
        <v>0.10321222941990461</v>
      </c>
      <c r="V253">
        <f t="shared" si="53"/>
        <v>-5.426046988610899E-2</v>
      </c>
      <c r="W253">
        <f t="shared" si="54"/>
        <v>1.0408340855860843E-16</v>
      </c>
      <c r="Y253">
        <f t="shared" si="55"/>
        <v>-6.3385139268471336E-2</v>
      </c>
      <c r="Z253">
        <f t="shared" si="56"/>
        <v>1.2769653412771829E-2</v>
      </c>
      <c r="AA253">
        <f t="shared" si="57"/>
        <v>-5.578808598875791E-2</v>
      </c>
    </row>
    <row r="254" spans="1:27" x14ac:dyDescent="0.3">
      <c r="A254" s="1">
        <v>44189</v>
      </c>
      <c r="B254">
        <v>383.88000499999998</v>
      </c>
      <c r="C254">
        <v>375.17001299999998</v>
      </c>
      <c r="D254">
        <v>375.17001299999998</v>
      </c>
      <c r="E254">
        <f t="shared" si="58"/>
        <v>0.97731063903680004</v>
      </c>
      <c r="F254">
        <f t="shared" si="49"/>
        <v>5.4530522767564413</v>
      </c>
      <c r="G254">
        <f t="shared" si="50"/>
        <v>-2.2689360963199956E-2</v>
      </c>
      <c r="I254">
        <v>41.650002000000001</v>
      </c>
      <c r="J254">
        <v>41.599997999999999</v>
      </c>
      <c r="K254">
        <v>40.317982000000001</v>
      </c>
      <c r="L254">
        <f t="shared" si="59"/>
        <v>0.99593001917409463</v>
      </c>
      <c r="M254">
        <f t="shared" si="51"/>
        <v>0.63955417669130543</v>
      </c>
      <c r="N254">
        <f t="shared" si="52"/>
        <v>-4.0699808259053727E-3</v>
      </c>
      <c r="P254">
        <f t="shared" si="46"/>
        <v>6.0926064534477469</v>
      </c>
      <c r="Q254">
        <f t="shared" si="60"/>
        <v>-2.0767613228813153E-2</v>
      </c>
      <c r="T254">
        <f t="shared" si="61"/>
        <v>0.8950278207565191</v>
      </c>
      <c r="U254">
        <f t="shared" si="62"/>
        <v>0.10497217924348091</v>
      </c>
      <c r="V254">
        <f t="shared" si="53"/>
        <v>-2.0767613228813091E-2</v>
      </c>
      <c r="W254">
        <f t="shared" si="54"/>
        <v>6.2450045135165055E-17</v>
      </c>
      <c r="Y254">
        <f t="shared" si="55"/>
        <v>-2.2950725544139804E-2</v>
      </c>
      <c r="Z254">
        <f t="shared" si="56"/>
        <v>-4.0782857394188413E-3</v>
      </c>
      <c r="AA254">
        <f t="shared" si="57"/>
        <v>-2.0986293045555326E-2</v>
      </c>
    </row>
    <row r="255" spans="1:27" x14ac:dyDescent="0.3">
      <c r="A255" s="1">
        <v>44193</v>
      </c>
      <c r="B255">
        <v>370.39999399999999</v>
      </c>
      <c r="C255">
        <v>351.39001500000001</v>
      </c>
      <c r="D255">
        <v>351.39001500000001</v>
      </c>
      <c r="E255">
        <f t="shared" si="58"/>
        <v>0.93661540854545866</v>
      </c>
      <c r="F255">
        <f t="shared" si="49"/>
        <v>5.1074127860139775</v>
      </c>
      <c r="G255">
        <f t="shared" si="50"/>
        <v>-6.3384591454541339E-2</v>
      </c>
      <c r="I255">
        <v>41.689999</v>
      </c>
      <c r="J255">
        <v>41.740001999999997</v>
      </c>
      <c r="K255">
        <v>40.453671</v>
      </c>
      <c r="L255">
        <f t="shared" si="59"/>
        <v>1.0033654710198541</v>
      </c>
      <c r="M255">
        <f t="shared" si="51"/>
        <v>0.64170657773858664</v>
      </c>
      <c r="N255">
        <f t="shared" si="52"/>
        <v>3.3654710198540716E-3</v>
      </c>
      <c r="P255">
        <f t="shared" si="46"/>
        <v>5.7491193637525644</v>
      </c>
      <c r="Q255">
        <f t="shared" si="60"/>
        <v>-5.6377691931965623E-2</v>
      </c>
      <c r="T255">
        <f t="shared" si="61"/>
        <v>0.88838176125121671</v>
      </c>
      <c r="U255">
        <f t="shared" si="62"/>
        <v>0.11161823874878325</v>
      </c>
      <c r="V255">
        <f t="shared" si="53"/>
        <v>-5.6377691931965554E-2</v>
      </c>
      <c r="W255">
        <f t="shared" si="54"/>
        <v>6.9388939039072284E-17</v>
      </c>
      <c r="Y255">
        <f t="shared" si="55"/>
        <v>-6.5482530792686455E-2</v>
      </c>
      <c r="Z255">
        <f t="shared" si="56"/>
        <v>3.3598204964938858E-3</v>
      </c>
      <c r="AA255">
        <f t="shared" si="57"/>
        <v>-5.8029290282507459E-2</v>
      </c>
    </row>
    <row r="256" spans="1:27" x14ac:dyDescent="0.3">
      <c r="A256" s="1">
        <v>44194</v>
      </c>
      <c r="B256">
        <v>350.66000400000001</v>
      </c>
      <c r="C256">
        <v>353.75</v>
      </c>
      <c r="D256">
        <v>353.75</v>
      </c>
      <c r="E256">
        <f t="shared" si="58"/>
        <v>1.0067161413223424</v>
      </c>
      <c r="F256">
        <f t="shared" si="49"/>
        <v>5.1417148920763864</v>
      </c>
      <c r="G256">
        <f t="shared" si="50"/>
        <v>6.7161413223424393E-3</v>
      </c>
      <c r="I256">
        <v>42.040000999999997</v>
      </c>
      <c r="J256">
        <v>41.27</v>
      </c>
      <c r="K256">
        <v>39.998157999999997</v>
      </c>
      <c r="L256">
        <f t="shared" si="59"/>
        <v>0.98873988469427154</v>
      </c>
      <c r="M256">
        <f t="shared" si="51"/>
        <v>0.63448088768080579</v>
      </c>
      <c r="N256">
        <f t="shared" si="52"/>
        <v>-1.1260115305728458E-2</v>
      </c>
      <c r="P256">
        <f t="shared" si="46"/>
        <v>5.7761957797571926</v>
      </c>
      <c r="Q256">
        <f t="shared" si="60"/>
        <v>4.7096632182210829E-3</v>
      </c>
      <c r="T256">
        <f t="shared" si="61"/>
        <v>0.8901559240937853</v>
      </c>
      <c r="U256">
        <f t="shared" si="62"/>
        <v>0.10984407590621466</v>
      </c>
      <c r="V256">
        <f t="shared" si="53"/>
        <v>4.7096632182210239E-3</v>
      </c>
      <c r="W256">
        <f t="shared" si="54"/>
        <v>5.8980598183211441E-17</v>
      </c>
      <c r="Y256">
        <f t="shared" si="55"/>
        <v>6.6936885199433468E-3</v>
      </c>
      <c r="Z256">
        <f t="shared" si="56"/>
        <v>-1.1323990350306909E-2</v>
      </c>
      <c r="AA256">
        <f t="shared" si="57"/>
        <v>4.6986074534361095E-3</v>
      </c>
    </row>
    <row r="257" spans="1:27" x14ac:dyDescent="0.3">
      <c r="A257" s="1">
        <v>44195</v>
      </c>
      <c r="B257">
        <v>358.42001299999998</v>
      </c>
      <c r="C257">
        <v>353.39999399999999</v>
      </c>
      <c r="D257">
        <v>353.39999399999999</v>
      </c>
      <c r="E257">
        <f t="shared" si="58"/>
        <v>0.99901058374558305</v>
      </c>
      <c r="F257">
        <f t="shared" si="49"/>
        <v>5.1366275957865888</v>
      </c>
      <c r="G257">
        <f t="shared" si="50"/>
        <v>-9.8941625441695269E-4</v>
      </c>
      <c r="I257">
        <v>41.330002</v>
      </c>
      <c r="J257">
        <v>41.599997999999999</v>
      </c>
      <c r="K257">
        <v>40.317982000000001</v>
      </c>
      <c r="L257">
        <f t="shared" si="59"/>
        <v>1.0079959682143365</v>
      </c>
      <c r="M257">
        <f t="shared" si="51"/>
        <v>0.63955417669130554</v>
      </c>
      <c r="N257">
        <f t="shared" si="52"/>
        <v>7.9959682143364574E-3</v>
      </c>
      <c r="P257">
        <f t="shared" si="46"/>
        <v>5.7761817724778943</v>
      </c>
      <c r="Q257">
        <f>(P257/P256)-1</f>
        <v>-2.4250007846227106E-6</v>
      </c>
      <c r="V257">
        <f t="shared" si="53"/>
        <v>-2.4250007846808239E-6</v>
      </c>
      <c r="W257">
        <f>ABS(V257-Q257)</f>
        <v>5.8113236445223038E-17</v>
      </c>
      <c r="Y257">
        <f t="shared" si="55"/>
        <v>-9.8990604978018608E-4</v>
      </c>
      <c r="Z257">
        <f t="shared" si="56"/>
        <v>7.9641698538130776E-3</v>
      </c>
      <c r="AA257">
        <f t="shared" si="57"/>
        <v>-2.4250037249418668E-6</v>
      </c>
    </row>
    <row r="258" spans="1:27" x14ac:dyDescent="0.3">
      <c r="A258" s="1"/>
      <c r="Y258" t="s">
        <v>38</v>
      </c>
    </row>
    <row r="259" spans="1:27" x14ac:dyDescent="0.3">
      <c r="G259" t="s">
        <v>42</v>
      </c>
      <c r="N259" t="s">
        <v>43</v>
      </c>
      <c r="Q259" t="s">
        <v>44</v>
      </c>
      <c r="Y259" t="s">
        <v>39</v>
      </c>
      <c r="Z259" t="s">
        <v>40</v>
      </c>
      <c r="AA259" t="s">
        <v>41</v>
      </c>
    </row>
    <row r="260" spans="1:27" x14ac:dyDescent="0.3">
      <c r="F260" t="s">
        <v>17</v>
      </c>
      <c r="G260" s="4">
        <f>AVERAGE(G7:G257)</f>
        <v>7.9309983956989648E-3</v>
      </c>
      <c r="M260" t="s">
        <v>17</v>
      </c>
      <c r="N260" s="4">
        <f>AVERAGE(N7:N257)</f>
        <v>-1.2616927367211624E-3</v>
      </c>
      <c r="P260" t="s">
        <v>17</v>
      </c>
      <c r="Q260" s="4">
        <f>AVERAGE(Q7:Q257)</f>
        <v>5.1646146641896084E-3</v>
      </c>
      <c r="S260" t="s">
        <v>31</v>
      </c>
      <c r="T260">
        <f>MAX(T5:T256)</f>
        <v>0.94274525934297471</v>
      </c>
      <c r="U260">
        <f>MAX(U5:U256)</f>
        <v>0.50590506162326787</v>
      </c>
      <c r="W260">
        <f>SUM(W6:W257)</f>
        <v>2.0163775163450914E-14</v>
      </c>
      <c r="X260" t="s">
        <v>17</v>
      </c>
      <c r="Y260">
        <f>AVERAGE(Y7:Y257)</f>
        <v>6.5241444250193738E-3</v>
      </c>
      <c r="Z260">
        <f t="shared" ref="Z260:AA260" si="63">AVERAGE(Z7:Z257)</f>
        <v>-1.8180736461346056E-3</v>
      </c>
      <c r="AA260">
        <f t="shared" si="63"/>
        <v>4.2091129292223172E-3</v>
      </c>
    </row>
    <row r="261" spans="1:27" x14ac:dyDescent="0.3">
      <c r="F261" t="s">
        <v>18</v>
      </c>
      <c r="G261">
        <f>_xlfn.STDEV.S(G7:G257)</f>
        <v>5.403001944115271E-2</v>
      </c>
      <c r="M261" t="s">
        <v>18</v>
      </c>
      <c r="N261">
        <f>_xlfn.STDEV.S(N7:N257)</f>
        <v>3.3395122796339383E-2</v>
      </c>
      <c r="P261" t="s">
        <v>18</v>
      </c>
      <c r="Q261">
        <f>_xlfn.STDEV.S(Q7:Q257)</f>
        <v>4.46335315261739E-2</v>
      </c>
      <c r="S261" t="s">
        <v>32</v>
      </c>
      <c r="T261">
        <f>MIN(T5:T256)</f>
        <v>0.49409493837673218</v>
      </c>
      <c r="U261">
        <f>MIN(U5:U256)</f>
        <v>5.7254740657025405E-2</v>
      </c>
      <c r="X261" t="s">
        <v>18</v>
      </c>
      <c r="Y261">
        <f>_xlfn.STDEV.S(Y7:Y257)</f>
        <v>5.2149822913443208E-2</v>
      </c>
      <c r="Z261">
        <f t="shared" ref="Z261:AA261" si="64">_xlfn.STDEV.S(Z7:Z257)</f>
        <v>3.3395064401539519E-2</v>
      </c>
      <c r="AA261">
        <f t="shared" si="64"/>
        <v>4.3128554639166691E-2</v>
      </c>
    </row>
    <row r="262" spans="1:27" x14ac:dyDescent="0.3">
      <c r="F262" t="s">
        <v>19</v>
      </c>
      <c r="G262">
        <f>SKEW(G7:G257)</f>
        <v>1.6030818562751967</v>
      </c>
      <c r="M262" t="s">
        <v>19</v>
      </c>
      <c r="N262">
        <f>SKEW(N7:N257)</f>
        <v>0.23796928768190384</v>
      </c>
      <c r="P262" t="s">
        <v>19</v>
      </c>
      <c r="Q262">
        <f>SKEW(Q7:Q257)</f>
        <v>1.9076484789336328</v>
      </c>
      <c r="X262" t="s">
        <v>19</v>
      </c>
      <c r="Y262">
        <f>SKEW(Y7:Y257)</f>
        <v>0.79939847062723979</v>
      </c>
      <c r="Z262">
        <f t="shared" ref="Z262:AA262" si="65">SKEW(Z7:Z257)</f>
        <v>9.585461860628806E-3</v>
      </c>
      <c r="AA262">
        <f t="shared" si="65"/>
        <v>1.0810720886728797</v>
      </c>
    </row>
    <row r="263" spans="1:27" x14ac:dyDescent="0.3">
      <c r="F263" t="s">
        <v>20</v>
      </c>
      <c r="G263">
        <f>KURT(G7:G257)</f>
        <v>12.780998926438622</v>
      </c>
      <c r="M263" t="s">
        <v>20</v>
      </c>
      <c r="N263">
        <f>KURT(N7:N257)</f>
        <v>2.6434464560076631</v>
      </c>
      <c r="P263" t="s">
        <v>20</v>
      </c>
      <c r="Q263">
        <f>KURT(Q7:Q257)</f>
        <v>16.659622574618702</v>
      </c>
      <c r="X263" t="s">
        <v>20</v>
      </c>
      <c r="Y263">
        <f>KURT(Y7:Y257)</f>
        <v>8.0404842710802296</v>
      </c>
      <c r="Z263">
        <f t="shared" ref="Z263:AA263" si="66">KURT(Z7:Z257)</f>
        <v>2.6513201189687288</v>
      </c>
      <c r="AA263">
        <f t="shared" si="66"/>
        <v>10.924973804942045</v>
      </c>
    </row>
    <row r="264" spans="1:27" x14ac:dyDescent="0.3">
      <c r="F264" t="s">
        <v>21</v>
      </c>
      <c r="G264">
        <f>CORREL(G8:G257,G7:G256)</f>
        <v>1.2667330621356845E-2</v>
      </c>
      <c r="M264" t="s">
        <v>21</v>
      </c>
      <c r="N264">
        <f>CORREL(N8:N257,N7:N256)</f>
        <v>-0.10492929133363119</v>
      </c>
      <c r="P264" t="s">
        <v>21</v>
      </c>
      <c r="Q264">
        <f>CORREL(Q8:Q257,Q7:Q256)</f>
        <v>2.1809094359142491E-2</v>
      </c>
      <c r="X264" t="s">
        <v>21</v>
      </c>
      <c r="Y264">
        <f>CORREL(Y8:Y257,Y7:Y256)</f>
        <v>1.4723251284313123E-2</v>
      </c>
      <c r="Z264">
        <f t="shared" ref="Z264:AA264" si="67">CORREL(Z8:Z257,Z7:Z256)</f>
        <v>-0.10579920944668428</v>
      </c>
      <c r="AA264">
        <f t="shared" si="67"/>
        <v>2.5487465784665889E-2</v>
      </c>
    </row>
    <row r="265" spans="1:27" x14ac:dyDescent="0.3">
      <c r="F265" t="s">
        <v>28</v>
      </c>
      <c r="G265">
        <f>COUNT(G7:G257)</f>
        <v>251</v>
      </c>
    </row>
    <row r="267" spans="1:27" x14ac:dyDescent="0.3">
      <c r="U267" t="s">
        <v>29</v>
      </c>
      <c r="Y267">
        <f>EXP(Y260)-1</f>
        <v>6.5454730136274009E-3</v>
      </c>
      <c r="Z267">
        <f t="shared" ref="Z267:AA267" si="68">EXP(Z260)-1</f>
        <v>-1.8164219513624458E-3</v>
      </c>
      <c r="AA267">
        <f t="shared" si="68"/>
        <v>4.2179836866875764E-3</v>
      </c>
    </row>
    <row r="268" spans="1:27" x14ac:dyDescent="0.3">
      <c r="U268" t="s">
        <v>30</v>
      </c>
      <c r="Y268" s="4">
        <f>EXP(Y260+Y261^2/2)-1</f>
        <v>7.915106580168807E-3</v>
      </c>
      <c r="Z268" s="4">
        <f t="shared" ref="Z268:AA268" si="69">EXP(Z260+Z261^2/2)-1</f>
        <v>-1.2596644388044309E-3</v>
      </c>
      <c r="AA268" s="4">
        <f t="shared" si="69"/>
        <v>5.1523771189365686E-3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67"/>
  <sheetViews>
    <sheetView tabSelected="1" topLeftCell="J10" zoomScale="110" zoomScaleNormal="110" workbookViewId="0">
      <selection activeCell="P26" sqref="P26"/>
    </sheetView>
  </sheetViews>
  <sheetFormatPr defaultRowHeight="14.4" x14ac:dyDescent="0.3"/>
  <cols>
    <col min="1" max="1" width="11.5546875" customWidth="1"/>
    <col min="5" max="7" width="9.88671875" customWidth="1"/>
    <col min="8" max="8" width="9.88671875" style="6" customWidth="1"/>
    <col min="9" max="9" width="9.88671875" customWidth="1"/>
    <col min="16" max="16" width="9.109375" style="6"/>
    <col min="26" max="26" width="12" bestFit="1" customWidth="1"/>
  </cols>
  <sheetData>
    <row r="1" spans="1:30" x14ac:dyDescent="0.3">
      <c r="A1" t="s">
        <v>10</v>
      </c>
    </row>
    <row r="2" spans="1:30" x14ac:dyDescent="0.3">
      <c r="A2" t="s">
        <v>33</v>
      </c>
      <c r="S2" t="s">
        <v>16</v>
      </c>
    </row>
    <row r="3" spans="1:30" x14ac:dyDescent="0.3">
      <c r="F3" t="s">
        <v>34</v>
      </c>
      <c r="H3" s="6" t="s">
        <v>35</v>
      </c>
      <c r="N3" t="s">
        <v>34</v>
      </c>
      <c r="S3" t="s">
        <v>26</v>
      </c>
      <c r="W3" t="s">
        <v>22</v>
      </c>
      <c r="AB3" t="s">
        <v>27</v>
      </c>
    </row>
    <row r="4" spans="1:30" x14ac:dyDescent="0.3">
      <c r="B4" t="s">
        <v>7</v>
      </c>
      <c r="E4" t="s">
        <v>13</v>
      </c>
      <c r="F4" t="s">
        <v>15</v>
      </c>
      <c r="G4" t="s">
        <v>14</v>
      </c>
      <c r="H4" s="6" t="s">
        <v>34</v>
      </c>
      <c r="J4" t="s">
        <v>9</v>
      </c>
      <c r="N4" t="s">
        <v>15</v>
      </c>
      <c r="O4" t="s">
        <v>14</v>
      </c>
      <c r="R4" t="s">
        <v>12</v>
      </c>
      <c r="S4" t="s">
        <v>14</v>
      </c>
      <c r="W4" t="s">
        <v>7</v>
      </c>
      <c r="X4" t="s">
        <v>9</v>
      </c>
      <c r="Y4" t="s">
        <v>11</v>
      </c>
      <c r="Z4" t="s">
        <v>24</v>
      </c>
    </row>
    <row r="5" spans="1:30" x14ac:dyDescent="0.3">
      <c r="A5" t="s">
        <v>0</v>
      </c>
      <c r="B5" t="s">
        <v>1</v>
      </c>
      <c r="C5" t="s">
        <v>4</v>
      </c>
      <c r="D5" t="s">
        <v>5</v>
      </c>
      <c r="E5" t="s">
        <v>11</v>
      </c>
      <c r="F5">
        <v>1</v>
      </c>
      <c r="G5" t="s">
        <v>11</v>
      </c>
      <c r="J5" t="s">
        <v>1</v>
      </c>
      <c r="K5" t="s">
        <v>4</v>
      </c>
      <c r="L5" t="s">
        <v>5</v>
      </c>
      <c r="M5" t="s">
        <v>11</v>
      </c>
      <c r="N5">
        <v>1</v>
      </c>
      <c r="O5" t="s">
        <v>11</v>
      </c>
      <c r="R5">
        <f>F5+N5</f>
        <v>2</v>
      </c>
      <c r="S5" t="s">
        <v>11</v>
      </c>
      <c r="U5" t="s">
        <v>36</v>
      </c>
      <c r="W5">
        <f>F5/R5</f>
        <v>0.5</v>
      </c>
      <c r="X5">
        <f>N5/R5</f>
        <v>0.5</v>
      </c>
      <c r="Y5" t="s">
        <v>23</v>
      </c>
      <c r="Z5" t="s">
        <v>25</v>
      </c>
      <c r="AB5" t="s">
        <v>7</v>
      </c>
      <c r="AC5" t="s">
        <v>9</v>
      </c>
      <c r="AD5" t="s">
        <v>16</v>
      </c>
    </row>
    <row r="6" spans="1:30" s="2" customFormat="1" x14ac:dyDescent="0.3">
      <c r="A6" s="3">
        <v>43832</v>
      </c>
      <c r="B6" s="2">
        <v>68.800003000000004</v>
      </c>
      <c r="C6" s="2">
        <v>68.720000999999996</v>
      </c>
      <c r="D6" s="2">
        <v>68.720000999999996</v>
      </c>
      <c r="E6" s="2">
        <f>C6/B6</f>
        <v>0.9988371802832624</v>
      </c>
      <c r="F6" s="2">
        <f>F5*E6</f>
        <v>0.9988371802832624</v>
      </c>
      <c r="G6" s="2">
        <f t="shared" ref="G6:G70" si="0">E6-1</f>
        <v>-1.1628197167375953E-3</v>
      </c>
      <c r="H6" s="6"/>
      <c r="J6" s="2">
        <v>70.239998</v>
      </c>
      <c r="K6" s="2">
        <v>70.900002000000001</v>
      </c>
      <c r="L6" s="2">
        <v>63.633118000000003</v>
      </c>
      <c r="M6" s="2">
        <f>K6/J6</f>
        <v>1.0093964125682351</v>
      </c>
      <c r="N6" s="2">
        <f>N5*M6</f>
        <v>1.0093964125682351</v>
      </c>
      <c r="O6" s="2">
        <f t="shared" ref="O6:O69" si="1">M6-1</f>
        <v>9.3964125682350907E-3</v>
      </c>
      <c r="P6" s="6"/>
      <c r="R6" s="2">
        <f t="shared" ref="R6:R69" si="2">F6+N6</f>
        <v>2.0082335928514974</v>
      </c>
      <c r="S6" s="2">
        <f>(R6/R5)-1</f>
        <v>4.1167964257486922E-3</v>
      </c>
      <c r="W6" s="2">
        <f t="shared" ref="W6:W69" si="3">F6/R6</f>
        <v>0.49737101492511648</v>
      </c>
      <c r="X6" s="2">
        <f t="shared" ref="X6:X69" si="4">N6/R6</f>
        <v>0.50262898507488352</v>
      </c>
      <c r="Y6" s="2">
        <f>W5*G6+X5*O6</f>
        <v>4.1167964257487477E-3</v>
      </c>
      <c r="Z6" s="2">
        <f>ABS(Y6-S6)</f>
        <v>5.5511151231257827E-17</v>
      </c>
      <c r="AB6" s="2">
        <f>LN(1+G6)</f>
        <v>-1.1634963161440228E-3</v>
      </c>
      <c r="AC6" s="2">
        <f>LN(1+O6)</f>
        <v>9.3525408937695214E-3</v>
      </c>
      <c r="AD6" s="2">
        <f>LN(1+S6)</f>
        <v>4.1083456049429232E-3</v>
      </c>
    </row>
    <row r="7" spans="1:30" x14ac:dyDescent="0.3">
      <c r="A7" s="1">
        <v>43833</v>
      </c>
      <c r="B7">
        <v>67.620002999999997</v>
      </c>
      <c r="C7">
        <v>67.279999000000004</v>
      </c>
      <c r="D7">
        <v>67.279999000000004</v>
      </c>
      <c r="E7">
        <f>D7/D6</f>
        <v>0.97904537283112103</v>
      </c>
      <c r="F7">
        <f t="shared" ref="F7:F70" si="5">F6*E7</f>
        <v>0.97790691956801234</v>
      </c>
      <c r="G7">
        <f t="shared" si="0"/>
        <v>-2.095462716887897E-2</v>
      </c>
      <c r="J7">
        <v>71.339995999999999</v>
      </c>
      <c r="K7">
        <v>70.330001999999993</v>
      </c>
      <c r="L7">
        <v>63.121540000000003</v>
      </c>
      <c r="M7">
        <f>L7/L6</f>
        <v>0.99196050710574957</v>
      </c>
      <c r="N7">
        <f t="shared" ref="N7:N70" si="6">N6*M7</f>
        <v>1.0012813772819109</v>
      </c>
      <c r="O7">
        <f t="shared" si="1"/>
        <v>-8.0394928942504329E-3</v>
      </c>
      <c r="R7">
        <f t="shared" si="2"/>
        <v>1.9791882968499233</v>
      </c>
      <c r="S7">
        <f>(R7/R6)-1</f>
        <v>-1.4463106336316534E-2</v>
      </c>
      <c r="W7">
        <f t="shared" si="3"/>
        <v>0.49409493837673218</v>
      </c>
      <c r="X7">
        <f t="shared" si="4"/>
        <v>0.50590506162326787</v>
      </c>
      <c r="Y7">
        <f t="shared" ref="Y7:Y70" si="7">W6*G7+X6*O7</f>
        <v>-1.4463106336316587E-2</v>
      </c>
      <c r="Z7">
        <f t="shared" ref="Z7:Z70" si="8">ABS(Y7-S7)</f>
        <v>5.377642775528102E-17</v>
      </c>
      <c r="AB7">
        <f t="shared" ref="AB7:AB70" si="9">LN(1+G7)</f>
        <v>-2.1177291426369621E-2</v>
      </c>
      <c r="AC7">
        <f t="shared" ref="AC7:AC70" si="10">LN(1+O7)</f>
        <v>-8.0719838750915908E-3</v>
      </c>
      <c r="AD7">
        <f t="shared" ref="AD7:AD70" si="11">LN(1+S7)</f>
        <v>-1.4568716597260674E-2</v>
      </c>
    </row>
    <row r="8" spans="1:30" x14ac:dyDescent="0.3">
      <c r="A8" s="1">
        <v>43836</v>
      </c>
      <c r="B8">
        <v>66.629997000000003</v>
      </c>
      <c r="C8">
        <v>70.319999999999993</v>
      </c>
      <c r="D8">
        <v>70.319999999999993</v>
      </c>
      <c r="E8">
        <f t="shared" ref="E8:E71" si="12">D8/D7</f>
        <v>1.0451843199343684</v>
      </c>
      <c r="F8">
        <f t="shared" si="5"/>
        <v>1.0220929786878061</v>
      </c>
      <c r="G8">
        <f t="shared" si="0"/>
        <v>4.5184319934368444E-2</v>
      </c>
      <c r="J8">
        <v>70.319999999999993</v>
      </c>
      <c r="K8">
        <v>70.870002999999997</v>
      </c>
      <c r="L8">
        <v>63.606186000000001</v>
      </c>
      <c r="M8">
        <f t="shared" ref="M8:M71" si="13">L8/L7</f>
        <v>1.0076779812406351</v>
      </c>
      <c r="N8">
        <f t="shared" si="6"/>
        <v>1.0089691969132788</v>
      </c>
      <c r="O8">
        <f t="shared" si="1"/>
        <v>7.6779812406351233E-3</v>
      </c>
      <c r="R8">
        <f t="shared" si="2"/>
        <v>2.0310621756010852</v>
      </c>
      <c r="S8">
        <f t="shared" ref="S8:S71" si="14">(R8/R7)-1</f>
        <v>2.6209673346252238E-2</v>
      </c>
      <c r="W8">
        <f t="shared" si="3"/>
        <v>0.50323076810059819</v>
      </c>
      <c r="X8">
        <f t="shared" si="4"/>
        <v>0.4967692318994017</v>
      </c>
      <c r="Y8">
        <f t="shared" si="7"/>
        <v>2.6209673346252134E-2</v>
      </c>
      <c r="Z8">
        <f t="shared" si="8"/>
        <v>1.0408340855860843E-16</v>
      </c>
      <c r="AB8">
        <f t="shared" si="9"/>
        <v>4.4193252575486924E-2</v>
      </c>
      <c r="AC8">
        <f t="shared" si="10"/>
        <v>7.6486555550592892E-3</v>
      </c>
      <c r="AD8">
        <f t="shared" si="11"/>
        <v>2.5872085856520812E-2</v>
      </c>
    </row>
    <row r="9" spans="1:30" x14ac:dyDescent="0.3">
      <c r="A9" s="1">
        <v>43837</v>
      </c>
      <c r="B9">
        <v>70.290001000000004</v>
      </c>
      <c r="C9">
        <v>71.900002000000001</v>
      </c>
      <c r="D9">
        <v>71.900002000000001</v>
      </c>
      <c r="E9">
        <f t="shared" si="12"/>
        <v>1.0224687428896475</v>
      </c>
      <c r="F9">
        <f t="shared" si="5"/>
        <v>1.0450581230352565</v>
      </c>
      <c r="G9">
        <f t="shared" si="0"/>
        <v>2.2468742889647508E-2</v>
      </c>
      <c r="J9">
        <v>70.5</v>
      </c>
      <c r="K9">
        <v>70.290001000000004</v>
      </c>
      <c r="L9">
        <v>63.085631999999997</v>
      </c>
      <c r="M9">
        <f t="shared" si="13"/>
        <v>0.99181598469054555</v>
      </c>
      <c r="N9">
        <f t="shared" si="6"/>
        <v>1.0007117775589727</v>
      </c>
      <c r="O9">
        <f t="shared" si="1"/>
        <v>-8.184015309454451E-3</v>
      </c>
      <c r="R9">
        <f t="shared" si="2"/>
        <v>2.0457699005942294</v>
      </c>
      <c r="S9">
        <f t="shared" si="14"/>
        <v>7.2413957434815934E-3</v>
      </c>
      <c r="W9">
        <f t="shared" si="3"/>
        <v>0.51083854676505958</v>
      </c>
      <c r="X9">
        <f t="shared" si="4"/>
        <v>0.48916145323494031</v>
      </c>
      <c r="Y9">
        <f t="shared" si="7"/>
        <v>7.2413957434815379E-3</v>
      </c>
      <c r="Z9">
        <f t="shared" si="8"/>
        <v>5.5511151231257827E-17</v>
      </c>
      <c r="AB9">
        <f t="shared" si="9"/>
        <v>2.2220039166490922E-2</v>
      </c>
      <c r="AC9">
        <f t="shared" si="10"/>
        <v>-8.2176882082736387E-3</v>
      </c>
      <c r="AD9">
        <f t="shared" si="11"/>
        <v>7.2153027281691437E-3</v>
      </c>
    </row>
    <row r="10" spans="1:30" x14ac:dyDescent="0.3">
      <c r="A10" s="1">
        <v>43838</v>
      </c>
      <c r="B10">
        <v>71.809997999999993</v>
      </c>
      <c r="C10">
        <v>72.550003000000004</v>
      </c>
      <c r="D10">
        <v>72.550003000000004</v>
      </c>
      <c r="E10">
        <f t="shared" si="12"/>
        <v>1.009040347453676</v>
      </c>
      <c r="F10">
        <f t="shared" si="5"/>
        <v>1.0545058115767816</v>
      </c>
      <c r="G10">
        <f t="shared" si="0"/>
        <v>9.0403474536759898E-3</v>
      </c>
      <c r="J10">
        <v>70.110000999999997</v>
      </c>
      <c r="K10">
        <v>69.230002999999996</v>
      </c>
      <c r="L10">
        <v>62.134273999999998</v>
      </c>
      <c r="M10">
        <f t="shared" si="13"/>
        <v>0.98491957725017321</v>
      </c>
      <c r="N10">
        <f t="shared" si="6"/>
        <v>0.98562062090265268</v>
      </c>
      <c r="O10">
        <f t="shared" si="1"/>
        <v>-1.5080422749826794E-2</v>
      </c>
      <c r="R10">
        <f t="shared" si="2"/>
        <v>2.0401264324794344</v>
      </c>
      <c r="S10">
        <f t="shared" si="14"/>
        <v>-2.7586035522155772E-3</v>
      </c>
      <c r="W10">
        <f t="shared" si="3"/>
        <v>0.51688257883860911</v>
      </c>
      <c r="X10">
        <f t="shared" si="4"/>
        <v>0.48311742116139084</v>
      </c>
      <c r="Y10">
        <f t="shared" si="7"/>
        <v>-2.75860355221548E-3</v>
      </c>
      <c r="Z10">
        <f t="shared" si="8"/>
        <v>9.7144514654701197E-17</v>
      </c>
      <c r="AB10">
        <f t="shared" si="9"/>
        <v>8.9997281375762354E-3</v>
      </c>
      <c r="AC10">
        <f t="shared" si="10"/>
        <v>-1.5195288605136706E-2</v>
      </c>
      <c r="AD10">
        <f t="shared" si="11"/>
        <v>-2.76241551106417E-3</v>
      </c>
    </row>
    <row r="11" spans="1:30" x14ac:dyDescent="0.3">
      <c r="A11" s="1">
        <v>43839</v>
      </c>
      <c r="B11">
        <v>73.989998</v>
      </c>
      <c r="C11">
        <v>72.620002999999997</v>
      </c>
      <c r="D11">
        <v>72.620002999999997</v>
      </c>
      <c r="E11">
        <f t="shared" si="12"/>
        <v>1.0009648517864291</v>
      </c>
      <c r="F11">
        <f t="shared" si="5"/>
        <v>1.0555232533928813</v>
      </c>
      <c r="G11">
        <f t="shared" si="0"/>
        <v>9.6485178642913283E-4</v>
      </c>
      <c r="J11">
        <v>69.139999000000003</v>
      </c>
      <c r="K11">
        <v>69.760002</v>
      </c>
      <c r="L11">
        <v>62.609959000000003</v>
      </c>
      <c r="M11">
        <f t="shared" si="13"/>
        <v>1.0076557585592778</v>
      </c>
      <c r="N11">
        <f t="shared" si="6"/>
        <v>0.99316629440732884</v>
      </c>
      <c r="O11">
        <f t="shared" si="1"/>
        <v>7.6557585592778032E-3</v>
      </c>
      <c r="R11">
        <f t="shared" si="2"/>
        <v>2.0486895478002101</v>
      </c>
      <c r="S11">
        <f t="shared" si="14"/>
        <v>4.1973454117589792E-3</v>
      </c>
      <c r="W11">
        <f t="shared" si="3"/>
        <v>0.51521874289164715</v>
      </c>
      <c r="X11">
        <f t="shared" si="4"/>
        <v>0.4847812571083529</v>
      </c>
      <c r="Y11">
        <f t="shared" si="7"/>
        <v>4.197345411759066E-3</v>
      </c>
      <c r="Z11">
        <f t="shared" si="8"/>
        <v>8.6736173798840355E-17</v>
      </c>
      <c r="AB11">
        <f t="shared" si="9"/>
        <v>9.6438661613379298E-4</v>
      </c>
      <c r="AC11">
        <f t="shared" si="10"/>
        <v>7.6266019557775866E-3</v>
      </c>
      <c r="AD11">
        <f t="shared" si="11"/>
        <v>4.1885611293725625E-3</v>
      </c>
    </row>
    <row r="12" spans="1:30" x14ac:dyDescent="0.3">
      <c r="A12" s="1">
        <v>43840</v>
      </c>
      <c r="B12">
        <v>73.080001999999993</v>
      </c>
      <c r="C12">
        <v>73.089995999999999</v>
      </c>
      <c r="D12">
        <v>73.089995999999999</v>
      </c>
      <c r="E12">
        <f t="shared" si="12"/>
        <v>1.0064719496087049</v>
      </c>
      <c r="F12">
        <f t="shared" si="5"/>
        <v>1.0623545466996562</v>
      </c>
      <c r="G12">
        <f t="shared" si="0"/>
        <v>6.4719496087048967E-3</v>
      </c>
      <c r="J12">
        <v>69.930000000000007</v>
      </c>
      <c r="K12">
        <v>69.139999000000003</v>
      </c>
      <c r="L12">
        <v>62.053500999999997</v>
      </c>
      <c r="M12">
        <f t="shared" si="13"/>
        <v>0.99111230850670251</v>
      </c>
      <c r="N12">
        <f t="shared" si="6"/>
        <v>0.98433933878109503</v>
      </c>
      <c r="O12">
        <f t="shared" si="1"/>
        <v>-8.8876914932974893E-3</v>
      </c>
      <c r="R12">
        <f t="shared" si="2"/>
        <v>2.0466938854807513</v>
      </c>
      <c r="S12">
        <f t="shared" si="14"/>
        <v>-9.7411651345691297E-4</v>
      </c>
      <c r="W12">
        <f t="shared" si="3"/>
        <v>0.51905883641711181</v>
      </c>
      <c r="X12">
        <f t="shared" si="4"/>
        <v>0.48094116358288819</v>
      </c>
      <c r="Y12">
        <f t="shared" si="7"/>
        <v>-9.741165134569468E-4</v>
      </c>
      <c r="Z12">
        <f t="shared" si="8"/>
        <v>3.3827107781547738E-17</v>
      </c>
      <c r="AB12">
        <f t="shared" si="9"/>
        <v>6.4510964681274768E-3</v>
      </c>
      <c r="AC12">
        <f t="shared" si="10"/>
        <v>-8.927422610465854E-3</v>
      </c>
      <c r="AD12">
        <f t="shared" si="11"/>
        <v>-9.7459127328710889E-4</v>
      </c>
    </row>
    <row r="13" spans="1:30" x14ac:dyDescent="0.3">
      <c r="A13" s="1">
        <v>43843</v>
      </c>
      <c r="B13">
        <v>73.889999000000003</v>
      </c>
      <c r="C13">
        <v>74.029999000000004</v>
      </c>
      <c r="D13">
        <v>74.029999000000004</v>
      </c>
      <c r="E13">
        <f t="shared" si="12"/>
        <v>1.0128608982274401</v>
      </c>
      <c r="F13">
        <f t="shared" si="5"/>
        <v>1.0760173804062187</v>
      </c>
      <c r="G13">
        <f t="shared" si="0"/>
        <v>1.2860898227440076E-2</v>
      </c>
      <c r="J13">
        <v>69.199996999999996</v>
      </c>
      <c r="K13">
        <v>69.800003000000004</v>
      </c>
      <c r="L13">
        <v>62.645859000000002</v>
      </c>
      <c r="M13">
        <f t="shared" si="13"/>
        <v>1.0095459239278055</v>
      </c>
      <c r="N13">
        <f t="shared" si="6"/>
        <v>0.99373576722824575</v>
      </c>
      <c r="O13">
        <f t="shared" si="1"/>
        <v>9.5459239278055108E-3</v>
      </c>
      <c r="R13">
        <f t="shared" si="2"/>
        <v>2.0697531476344646</v>
      </c>
      <c r="S13">
        <f t="shared" si="14"/>
        <v>1.1266590630526485E-2</v>
      </c>
      <c r="W13">
        <f t="shared" si="3"/>
        <v>0.51987715618937769</v>
      </c>
      <c r="X13">
        <f t="shared" si="4"/>
        <v>0.4801228438106222</v>
      </c>
      <c r="Y13">
        <f t="shared" si="7"/>
        <v>1.1266590630526457E-2</v>
      </c>
      <c r="Z13">
        <f t="shared" si="8"/>
        <v>2.7755575615628914E-17</v>
      </c>
      <c r="AB13">
        <f t="shared" si="9"/>
        <v>1.2778899181719639E-2</v>
      </c>
      <c r="AC13">
        <f t="shared" si="10"/>
        <v>9.5006494921589264E-3</v>
      </c>
      <c r="AD13">
        <f t="shared" si="11"/>
        <v>1.120359531831175E-2</v>
      </c>
    </row>
    <row r="14" spans="1:30" x14ac:dyDescent="0.3">
      <c r="A14" s="1">
        <v>43844</v>
      </c>
      <c r="B14">
        <v>74.319999999999993</v>
      </c>
      <c r="C14">
        <v>73.160004000000001</v>
      </c>
      <c r="D14">
        <v>73.160004000000001</v>
      </c>
      <c r="E14">
        <f t="shared" si="12"/>
        <v>0.9882480749459418</v>
      </c>
      <c r="F14">
        <f t="shared" si="5"/>
        <v>1.0633721047948208</v>
      </c>
      <c r="G14">
        <f t="shared" si="0"/>
        <v>-1.1751925054058199E-2</v>
      </c>
      <c r="J14">
        <v>69.379997000000003</v>
      </c>
      <c r="K14">
        <v>69.199996999999996</v>
      </c>
      <c r="L14">
        <v>62.107353000000003</v>
      </c>
      <c r="M14">
        <f t="shared" si="13"/>
        <v>0.99140396494523286</v>
      </c>
      <c r="N14">
        <f t="shared" si="6"/>
        <v>0.98519357973797583</v>
      </c>
      <c r="O14">
        <f t="shared" si="1"/>
        <v>-8.5960350547671371E-3</v>
      </c>
      <c r="R14">
        <f t="shared" si="2"/>
        <v>2.0485656845327966</v>
      </c>
      <c r="S14">
        <f t="shared" si="14"/>
        <v>-1.0236710172845109E-2</v>
      </c>
      <c r="W14">
        <f t="shared" si="3"/>
        <v>0.5190812834675288</v>
      </c>
      <c r="X14">
        <f t="shared" si="4"/>
        <v>0.4809187165324712</v>
      </c>
      <c r="Y14">
        <f t="shared" si="7"/>
        <v>-1.0236710172845071E-2</v>
      </c>
      <c r="Z14">
        <f t="shared" si="8"/>
        <v>3.8163916471489756E-17</v>
      </c>
      <c r="AB14">
        <f t="shared" si="9"/>
        <v>-1.1821524749620581E-2</v>
      </c>
      <c r="AC14">
        <f t="shared" si="10"/>
        <v>-8.6331940641078547E-3</v>
      </c>
      <c r="AD14">
        <f t="shared" si="11"/>
        <v>-1.028946562743897E-2</v>
      </c>
    </row>
    <row r="15" spans="1:30" x14ac:dyDescent="0.3">
      <c r="A15" s="1">
        <v>43845</v>
      </c>
      <c r="B15">
        <v>73.279999000000004</v>
      </c>
      <c r="C15">
        <v>76.940002000000007</v>
      </c>
      <c r="D15">
        <v>76.940002000000007</v>
      </c>
      <c r="E15">
        <f t="shared" si="12"/>
        <v>1.0516675477491773</v>
      </c>
      <c r="F15">
        <f t="shared" si="5"/>
        <v>1.1183139337944503</v>
      </c>
      <c r="G15">
        <f t="shared" si="0"/>
        <v>5.1667547749177256E-2</v>
      </c>
      <c r="J15">
        <v>69.199996999999996</v>
      </c>
      <c r="K15">
        <v>69.089995999999999</v>
      </c>
      <c r="L15">
        <v>62.008620999999998</v>
      </c>
      <c r="M15">
        <f t="shared" si="13"/>
        <v>0.99841030095100003</v>
      </c>
      <c r="N15">
        <f t="shared" si="6"/>
        <v>0.98362741844118551</v>
      </c>
      <c r="O15">
        <f t="shared" si="1"/>
        <v>-1.5896990489999707E-3</v>
      </c>
      <c r="R15">
        <f t="shared" si="2"/>
        <v>2.1019413522356358</v>
      </c>
      <c r="S15">
        <f t="shared" si="14"/>
        <v>2.6055140972944812E-2</v>
      </c>
      <c r="W15">
        <f t="shared" si="3"/>
        <v>0.53203859974732681</v>
      </c>
      <c r="X15">
        <f t="shared" si="4"/>
        <v>0.46796140025267319</v>
      </c>
      <c r="Y15">
        <f t="shared" si="7"/>
        <v>2.6055140972944806E-2</v>
      </c>
      <c r="Z15">
        <f t="shared" si="8"/>
        <v>6.9388939039072284E-18</v>
      </c>
      <c r="AB15">
        <f t="shared" si="9"/>
        <v>5.0377045121080898E-2</v>
      </c>
      <c r="AC15">
        <f t="shared" si="10"/>
        <v>-1.5909639612641225E-3</v>
      </c>
      <c r="AD15">
        <f t="shared" si="11"/>
        <v>2.5721488942787973E-2</v>
      </c>
    </row>
    <row r="16" spans="1:30" x14ac:dyDescent="0.3">
      <c r="A16" s="1">
        <v>43846</v>
      </c>
      <c r="B16">
        <v>78</v>
      </c>
      <c r="C16">
        <v>76.110000999999997</v>
      </c>
      <c r="D16">
        <v>76.110000999999997</v>
      </c>
      <c r="E16">
        <f t="shared" si="12"/>
        <v>0.98921236056115502</v>
      </c>
      <c r="F16">
        <f t="shared" si="5"/>
        <v>1.1062499662972394</v>
      </c>
      <c r="G16">
        <f t="shared" si="0"/>
        <v>-1.0787639438844976E-2</v>
      </c>
      <c r="J16">
        <v>69.300003000000004</v>
      </c>
      <c r="K16">
        <v>68.819999999999993</v>
      </c>
      <c r="L16">
        <v>61.766292999999997</v>
      </c>
      <c r="M16">
        <f t="shared" si="13"/>
        <v>0.99609202726827295</v>
      </c>
      <c r="N16">
        <f t="shared" si="6"/>
        <v>0.97978342931173823</v>
      </c>
      <c r="O16">
        <f t="shared" si="1"/>
        <v>-3.9079727317270496E-3</v>
      </c>
      <c r="R16">
        <f t="shared" si="2"/>
        <v>2.0860333956089776</v>
      </c>
      <c r="S16">
        <f t="shared" si="14"/>
        <v>-7.5682209733104466E-3</v>
      </c>
      <c r="W16">
        <f t="shared" si="3"/>
        <v>0.53031268273358145</v>
      </c>
      <c r="X16">
        <f t="shared" si="4"/>
        <v>0.46968731726641855</v>
      </c>
      <c r="Y16">
        <f t="shared" si="7"/>
        <v>-7.5682209733103738E-3</v>
      </c>
      <c r="Z16">
        <f t="shared" si="8"/>
        <v>7.2858385991025898E-17</v>
      </c>
      <c r="AB16">
        <f t="shared" si="9"/>
        <v>-1.0846247900252081E-2</v>
      </c>
      <c r="AC16">
        <f t="shared" si="10"/>
        <v>-3.915628810169638E-3</v>
      </c>
      <c r="AD16">
        <f t="shared" si="11"/>
        <v>-7.597005280291079E-3</v>
      </c>
    </row>
    <row r="17" spans="1:30" x14ac:dyDescent="0.3">
      <c r="A17" s="1">
        <v>43847</v>
      </c>
      <c r="B17">
        <v>76.660004000000001</v>
      </c>
      <c r="C17">
        <v>75.559997999999993</v>
      </c>
      <c r="D17">
        <v>75.559997999999993</v>
      </c>
      <c r="E17">
        <f t="shared" si="12"/>
        <v>0.99277357781141007</v>
      </c>
      <c r="F17">
        <f t="shared" si="5"/>
        <v>1.0982557369946622</v>
      </c>
      <c r="G17">
        <f t="shared" si="0"/>
        <v>-7.2264221885899316E-3</v>
      </c>
      <c r="J17">
        <v>68.75</v>
      </c>
      <c r="K17">
        <v>68.559997999999993</v>
      </c>
      <c r="L17">
        <v>61.532944000000001</v>
      </c>
      <c r="M17">
        <f t="shared" si="13"/>
        <v>0.99622206564994931</v>
      </c>
      <c r="N17">
        <f t="shared" si="6"/>
        <v>0.9760818718385309</v>
      </c>
      <c r="O17">
        <f t="shared" si="1"/>
        <v>-3.7779343500506934E-3</v>
      </c>
      <c r="R17">
        <f t="shared" si="2"/>
        <v>2.0743376088331931</v>
      </c>
      <c r="S17">
        <f t="shared" si="14"/>
        <v>-5.6067111870805597E-3</v>
      </c>
      <c r="W17">
        <f t="shared" si="3"/>
        <v>0.52944888639049781</v>
      </c>
      <c r="X17">
        <f t="shared" si="4"/>
        <v>0.47055111360950219</v>
      </c>
      <c r="Y17">
        <f t="shared" si="7"/>
        <v>-5.6067111870805666E-3</v>
      </c>
      <c r="Z17">
        <f t="shared" si="8"/>
        <v>6.9388939039072284E-18</v>
      </c>
      <c r="AB17">
        <f t="shared" si="9"/>
        <v>-7.2526592539008568E-3</v>
      </c>
      <c r="AC17">
        <f t="shared" si="10"/>
        <v>-3.7850887689951608E-3</v>
      </c>
      <c r="AD17">
        <f t="shared" si="11"/>
        <v>-5.6224877897864392E-3</v>
      </c>
    </row>
    <row r="18" spans="1:30" x14ac:dyDescent="0.3">
      <c r="A18" s="1">
        <v>43851</v>
      </c>
      <c r="B18">
        <v>75.559997999999993</v>
      </c>
      <c r="C18">
        <v>76.730002999999996</v>
      </c>
      <c r="D18">
        <v>76.730002999999996</v>
      </c>
      <c r="E18">
        <f t="shared" si="12"/>
        <v>1.0154844498540088</v>
      </c>
      <c r="F18">
        <f t="shared" si="5"/>
        <v>1.1152616228810335</v>
      </c>
      <c r="G18">
        <f t="shared" si="0"/>
        <v>1.5484449854008764E-2</v>
      </c>
      <c r="J18">
        <v>68.379997000000003</v>
      </c>
      <c r="K18">
        <v>67.580001999999993</v>
      </c>
      <c r="L18">
        <v>60.653396999999998</v>
      </c>
      <c r="M18">
        <f t="shared" si="13"/>
        <v>0.985706079657102</v>
      </c>
      <c r="N18">
        <f t="shared" si="6"/>
        <v>0.96212983531432417</v>
      </c>
      <c r="O18">
        <f t="shared" si="1"/>
        <v>-1.4293920342898003E-2</v>
      </c>
      <c r="R18">
        <f t="shared" si="2"/>
        <v>2.0773914581953576</v>
      </c>
      <c r="S18">
        <f t="shared" si="14"/>
        <v>1.4722045963782016E-3</v>
      </c>
      <c r="W18">
        <f t="shared" si="3"/>
        <v>0.53685674814984941</v>
      </c>
      <c r="X18">
        <f t="shared" si="4"/>
        <v>0.46314325185015059</v>
      </c>
      <c r="Y18">
        <f t="shared" si="7"/>
        <v>1.4722045963782727E-3</v>
      </c>
      <c r="Z18">
        <f t="shared" si="8"/>
        <v>7.1123662515049091E-17</v>
      </c>
      <c r="AB18">
        <f t="shared" si="9"/>
        <v>1.5365789123432238E-2</v>
      </c>
      <c r="AC18">
        <f t="shared" si="10"/>
        <v>-1.439706247230119E-2</v>
      </c>
      <c r="AD18">
        <f t="shared" si="11"/>
        <v>1.471121965630454E-3</v>
      </c>
    </row>
    <row r="19" spans="1:30" x14ac:dyDescent="0.3">
      <c r="A19" s="1">
        <v>43852</v>
      </c>
      <c r="B19">
        <v>77.069999999999993</v>
      </c>
      <c r="C19">
        <v>75.540001000000004</v>
      </c>
      <c r="D19">
        <v>75.540001000000004</v>
      </c>
      <c r="E19">
        <f t="shared" si="12"/>
        <v>0.9844910471331535</v>
      </c>
      <c r="F19">
        <f t="shared" si="5"/>
        <v>1.0979650829375689</v>
      </c>
      <c r="G19">
        <f t="shared" si="0"/>
        <v>-1.5508952866846504E-2</v>
      </c>
      <c r="J19">
        <v>67.559997999999993</v>
      </c>
      <c r="K19">
        <v>67.190002000000007</v>
      </c>
      <c r="L19">
        <v>60.303364000000002</v>
      </c>
      <c r="M19">
        <f t="shared" si="13"/>
        <v>0.99422896297135677</v>
      </c>
      <c r="N19">
        <f t="shared" si="6"/>
        <v>0.95657734840836284</v>
      </c>
      <c r="O19">
        <f t="shared" si="1"/>
        <v>-5.7710370286432333E-3</v>
      </c>
      <c r="R19">
        <f t="shared" si="2"/>
        <v>2.054542431345932</v>
      </c>
      <c r="S19">
        <f t="shared" si="14"/>
        <v>-1.0998902859297721E-2</v>
      </c>
      <c r="W19">
        <f t="shared" si="3"/>
        <v>0.53440857009620935</v>
      </c>
      <c r="X19">
        <f t="shared" si="4"/>
        <v>0.46559142990379054</v>
      </c>
      <c r="Y19">
        <f t="shared" si="7"/>
        <v>-1.0998902859297957E-2</v>
      </c>
      <c r="Z19">
        <f t="shared" si="8"/>
        <v>2.3592239273284576E-16</v>
      </c>
      <c r="AB19">
        <f t="shared" si="9"/>
        <v>-1.5630474765379002E-2</v>
      </c>
      <c r="AC19">
        <f t="shared" si="10"/>
        <v>-5.7877538093024641E-3</v>
      </c>
      <c r="AD19">
        <f t="shared" si="11"/>
        <v>-1.1059838016559694E-2</v>
      </c>
    </row>
    <row r="20" spans="1:30" x14ac:dyDescent="0.3">
      <c r="A20" s="1">
        <v>43853</v>
      </c>
      <c r="B20">
        <v>75.669998000000007</v>
      </c>
      <c r="C20">
        <v>74.470000999999996</v>
      </c>
      <c r="D20">
        <v>74.470000999999996</v>
      </c>
      <c r="E20">
        <f t="shared" si="12"/>
        <v>0.98583531922378442</v>
      </c>
      <c r="F20">
        <f t="shared" si="5"/>
        <v>1.0824127580343272</v>
      </c>
      <c r="G20">
        <f t="shared" si="0"/>
        <v>-1.4164680776215577E-2</v>
      </c>
      <c r="J20">
        <v>66.709998999999996</v>
      </c>
      <c r="K20">
        <v>66.769997000000004</v>
      </c>
      <c r="L20">
        <v>59.926406999999998</v>
      </c>
      <c r="M20">
        <f t="shared" si="13"/>
        <v>0.99374898886237917</v>
      </c>
      <c r="N20">
        <f t="shared" si="6"/>
        <v>0.95059777274946633</v>
      </c>
      <c r="O20">
        <f t="shared" si="1"/>
        <v>-6.2510111376208322E-3</v>
      </c>
      <c r="R20">
        <f t="shared" si="2"/>
        <v>2.0330105307837938</v>
      </c>
      <c r="S20">
        <f t="shared" si="14"/>
        <v>-1.0480144013396031E-2</v>
      </c>
      <c r="W20">
        <f t="shared" si="3"/>
        <v>0.53241866760868217</v>
      </c>
      <c r="X20">
        <f t="shared" si="4"/>
        <v>0.46758133239131772</v>
      </c>
      <c r="Y20">
        <f t="shared" si="7"/>
        <v>-1.0480144013396035E-2</v>
      </c>
      <c r="Z20">
        <f t="shared" si="8"/>
        <v>3.4694469519536142E-18</v>
      </c>
      <c r="AB20">
        <f t="shared" si="9"/>
        <v>-1.4265957371550167E-2</v>
      </c>
      <c r="AC20">
        <f t="shared" si="10"/>
        <v>-6.2706305110899847E-3</v>
      </c>
      <c r="AD20">
        <f t="shared" si="11"/>
        <v>-1.0535447454034369E-2</v>
      </c>
    </row>
    <row r="21" spans="1:30" x14ac:dyDescent="0.3">
      <c r="A21" s="1">
        <v>43854</v>
      </c>
      <c r="B21">
        <v>74.970000999999996</v>
      </c>
      <c r="C21">
        <v>73</v>
      </c>
      <c r="D21">
        <v>73</v>
      </c>
      <c r="E21">
        <f t="shared" si="12"/>
        <v>0.98026049442378826</v>
      </c>
      <c r="F21">
        <f t="shared" si="5"/>
        <v>1.0610464653613458</v>
      </c>
      <c r="G21">
        <f t="shared" si="0"/>
        <v>-1.9739505576211736E-2</v>
      </c>
      <c r="J21">
        <v>66.540001000000004</v>
      </c>
      <c r="K21">
        <v>66.319999999999993</v>
      </c>
      <c r="L21">
        <v>59.522533000000003</v>
      </c>
      <c r="M21">
        <f t="shared" si="13"/>
        <v>0.99326050033335067</v>
      </c>
      <c r="N21">
        <f t="shared" si="6"/>
        <v>0.94419121937690376</v>
      </c>
      <c r="O21">
        <f t="shared" si="1"/>
        <v>-6.739499666649329E-3</v>
      </c>
      <c r="R21">
        <f t="shared" si="2"/>
        <v>2.0052376847382494</v>
      </c>
      <c r="S21">
        <f t="shared" si="14"/>
        <v>-1.3660945491923759E-2</v>
      </c>
      <c r="W21">
        <f t="shared" si="3"/>
        <v>0.52913750496358136</v>
      </c>
      <c r="X21">
        <f t="shared" si="4"/>
        <v>0.47086249503641875</v>
      </c>
      <c r="Y21">
        <f t="shared" si="7"/>
        <v>-1.3660945491923539E-2</v>
      </c>
      <c r="Z21">
        <f t="shared" si="8"/>
        <v>2.203098814490545E-16</v>
      </c>
      <c r="AB21">
        <f t="shared" si="9"/>
        <v>-1.9936932002388993E-2</v>
      </c>
      <c r="AC21">
        <f t="shared" si="10"/>
        <v>-6.7623126510351558E-3</v>
      </c>
      <c r="AD21">
        <f t="shared" si="11"/>
        <v>-1.3755114819333865E-2</v>
      </c>
    </row>
    <row r="22" spans="1:30" x14ac:dyDescent="0.3">
      <c r="A22" s="1">
        <v>43857</v>
      </c>
      <c r="B22">
        <v>71.330001999999993</v>
      </c>
      <c r="C22">
        <v>70.440002000000007</v>
      </c>
      <c r="D22">
        <v>70.440002000000007</v>
      </c>
      <c r="E22">
        <f t="shared" si="12"/>
        <v>0.96493153424657541</v>
      </c>
      <c r="F22">
        <f t="shared" si="5"/>
        <v>1.0238371937280293</v>
      </c>
      <c r="G22">
        <f t="shared" si="0"/>
        <v>-3.5068465753424594E-2</v>
      </c>
      <c r="J22">
        <v>65.419998000000007</v>
      </c>
      <c r="K22">
        <v>64.739998</v>
      </c>
      <c r="L22">
        <v>58.104472999999999</v>
      </c>
      <c r="M22">
        <f t="shared" si="13"/>
        <v>0.97617608108176435</v>
      </c>
      <c r="N22">
        <f t="shared" si="6"/>
        <v>0.92169688432315833</v>
      </c>
      <c r="O22">
        <f t="shared" si="1"/>
        <v>-2.3823918918235654E-2</v>
      </c>
      <c r="R22">
        <f t="shared" si="2"/>
        <v>1.9455340780511876</v>
      </c>
      <c r="S22">
        <f t="shared" si="14"/>
        <v>-2.9773830375053545E-2</v>
      </c>
      <c r="W22">
        <f t="shared" si="3"/>
        <v>0.52624994096921274</v>
      </c>
      <c r="X22">
        <f t="shared" si="4"/>
        <v>0.47375005903078721</v>
      </c>
      <c r="Y22">
        <f t="shared" si="7"/>
        <v>-2.9773830375053666E-2</v>
      </c>
      <c r="Z22">
        <f t="shared" si="8"/>
        <v>1.214306433183765E-16</v>
      </c>
      <c r="AB22">
        <f t="shared" si="9"/>
        <v>-3.5698129127427529E-2</v>
      </c>
      <c r="AC22">
        <f t="shared" si="10"/>
        <v>-2.4112297896711238E-2</v>
      </c>
      <c r="AD22">
        <f t="shared" si="11"/>
        <v>-3.0226070101539871E-2</v>
      </c>
    </row>
    <row r="23" spans="1:30" x14ac:dyDescent="0.3">
      <c r="A23" s="1">
        <v>43858</v>
      </c>
      <c r="B23">
        <v>71</v>
      </c>
      <c r="C23">
        <v>71.510002</v>
      </c>
      <c r="D23">
        <v>71.510002</v>
      </c>
      <c r="E23">
        <f t="shared" si="12"/>
        <v>1.0151902323909643</v>
      </c>
      <c r="F23">
        <f t="shared" si="5"/>
        <v>1.0393895186312707</v>
      </c>
      <c r="G23">
        <f t="shared" si="0"/>
        <v>1.5190232390964287E-2</v>
      </c>
      <c r="J23">
        <v>65.110000999999997</v>
      </c>
      <c r="K23">
        <v>64.650002000000001</v>
      </c>
      <c r="L23">
        <v>58.023705</v>
      </c>
      <c r="M23">
        <f t="shared" si="13"/>
        <v>0.99860995211160419</v>
      </c>
      <c r="N23">
        <f t="shared" si="6"/>
        <v>0.9204156815153639</v>
      </c>
      <c r="O23">
        <f t="shared" si="1"/>
        <v>-1.3900478883958067E-3</v>
      </c>
      <c r="R23">
        <f t="shared" si="2"/>
        <v>1.9598052001466346</v>
      </c>
      <c r="S23">
        <f t="shared" si="14"/>
        <v>7.3353236298703273E-3</v>
      </c>
      <c r="W23">
        <f t="shared" si="3"/>
        <v>0.5303534854145211</v>
      </c>
      <c r="X23">
        <f t="shared" si="4"/>
        <v>0.46964651458547896</v>
      </c>
      <c r="Y23">
        <f t="shared" si="7"/>
        <v>7.3353236298704452E-3</v>
      </c>
      <c r="Z23">
        <f t="shared" si="8"/>
        <v>1.1796119636642288E-16</v>
      </c>
      <c r="AB23">
        <f t="shared" si="9"/>
        <v>1.5076016007456852E-2</v>
      </c>
      <c r="AC23">
        <f t="shared" si="10"/>
        <v>-1.3910149011951056E-3</v>
      </c>
      <c r="AD23">
        <f t="shared" si="11"/>
        <v>7.3085509877698117E-3</v>
      </c>
    </row>
    <row r="24" spans="1:30" x14ac:dyDescent="0.3">
      <c r="A24" s="1">
        <v>43859</v>
      </c>
      <c r="B24">
        <v>72.510002</v>
      </c>
      <c r="C24">
        <v>73.580001999999993</v>
      </c>
      <c r="D24">
        <v>73.580001999999993</v>
      </c>
      <c r="E24">
        <f t="shared" si="12"/>
        <v>1.0289469996099285</v>
      </c>
      <c r="F24">
        <f t="shared" si="5"/>
        <v>1.0694767266216538</v>
      </c>
      <c r="G24">
        <f t="shared" si="0"/>
        <v>2.8946999609928525E-2</v>
      </c>
      <c r="J24">
        <v>65.029999000000004</v>
      </c>
      <c r="K24">
        <v>64.110000999999997</v>
      </c>
      <c r="L24">
        <v>57.539046999999997</v>
      </c>
      <c r="M24">
        <f t="shared" si="13"/>
        <v>0.99164724141624527</v>
      </c>
      <c r="N24">
        <f t="shared" si="6"/>
        <v>0.91272767153096401</v>
      </c>
      <c r="O24">
        <f t="shared" si="1"/>
        <v>-8.3527585837547269E-3</v>
      </c>
      <c r="R24">
        <f t="shared" si="2"/>
        <v>1.9822043981526178</v>
      </c>
      <c r="S24">
        <f t="shared" si="14"/>
        <v>1.1429298179383984E-2</v>
      </c>
      <c r="W24">
        <f t="shared" si="3"/>
        <v>0.53953907458705508</v>
      </c>
      <c r="X24">
        <f t="shared" si="4"/>
        <v>0.46046092541294498</v>
      </c>
      <c r="Y24">
        <f t="shared" si="7"/>
        <v>1.1429298179384026E-2</v>
      </c>
      <c r="Z24">
        <f t="shared" si="8"/>
        <v>4.163336342344337E-17</v>
      </c>
      <c r="AB24">
        <f t="shared" si="9"/>
        <v>2.8535948829506497E-2</v>
      </c>
      <c r="AC24">
        <f t="shared" si="10"/>
        <v>-8.3878383501934349E-3</v>
      </c>
      <c r="AD24">
        <f t="shared" si="11"/>
        <v>1.1364477188995907E-2</v>
      </c>
    </row>
    <row r="25" spans="1:30" x14ac:dyDescent="0.3">
      <c r="A25" s="1">
        <v>43860</v>
      </c>
      <c r="B25">
        <v>73.099997999999999</v>
      </c>
      <c r="C25">
        <v>74.540001000000004</v>
      </c>
      <c r="D25">
        <v>74.540001000000004</v>
      </c>
      <c r="E25">
        <f t="shared" si="12"/>
        <v>1.0130470097024462</v>
      </c>
      <c r="F25">
        <f t="shared" si="5"/>
        <v>1.083430199850427</v>
      </c>
      <c r="G25">
        <f t="shared" si="0"/>
        <v>1.3047009702446211E-2</v>
      </c>
      <c r="J25">
        <v>63.779998999999997</v>
      </c>
      <c r="K25">
        <v>64.790001000000004</v>
      </c>
      <c r="L25">
        <v>58.149352999999998</v>
      </c>
      <c r="M25">
        <f t="shared" si="13"/>
        <v>1.0106068145341371</v>
      </c>
      <c r="N25">
        <f t="shared" si="6"/>
        <v>0.92240880466306785</v>
      </c>
      <c r="O25">
        <f t="shared" si="1"/>
        <v>1.0606814534137143E-2</v>
      </c>
      <c r="R25">
        <f t="shared" si="2"/>
        <v>2.0058390045134948</v>
      </c>
      <c r="S25">
        <f t="shared" si="14"/>
        <v>1.1923395177058538E-2</v>
      </c>
      <c r="W25">
        <f t="shared" si="3"/>
        <v>0.54013816533256964</v>
      </c>
      <c r="X25">
        <f t="shared" si="4"/>
        <v>0.45986183466743036</v>
      </c>
      <c r="Y25">
        <f t="shared" si="7"/>
        <v>1.192339517705842E-2</v>
      </c>
      <c r="Z25">
        <f t="shared" si="8"/>
        <v>1.1796119636642288E-16</v>
      </c>
      <c r="AB25">
        <f t="shared" si="9"/>
        <v>1.2962630608800998E-2</v>
      </c>
      <c r="AC25">
        <f t="shared" si="10"/>
        <v>1.0550956910662098E-2</v>
      </c>
      <c r="AD25">
        <f t="shared" si="11"/>
        <v>1.1852871534794604E-2</v>
      </c>
    </row>
    <row r="26" spans="1:30" s="6" customFormat="1" x14ac:dyDescent="0.3">
      <c r="A26" s="5">
        <v>43861</v>
      </c>
      <c r="B26" s="6">
        <v>74.269997000000004</v>
      </c>
      <c r="C26" s="6">
        <v>76.300003000000004</v>
      </c>
      <c r="D26" s="6">
        <v>76.300003000000004</v>
      </c>
      <c r="E26" s="6">
        <f t="shared" si="12"/>
        <v>1.0236115102815735</v>
      </c>
      <c r="F26" s="6">
        <f t="shared" si="5"/>
        <v>1.1090116231535625</v>
      </c>
      <c r="G26" s="6">
        <f t="shared" si="0"/>
        <v>2.3611510281573489E-2</v>
      </c>
      <c r="H26" s="7">
        <f>0.5*R26</f>
        <v>0.99670391574543871</v>
      </c>
      <c r="J26" s="6">
        <v>63.200001</v>
      </c>
      <c r="K26" s="6">
        <v>62.119999</v>
      </c>
      <c r="L26" s="6">
        <v>55.753010000000003</v>
      </c>
      <c r="M26" s="6">
        <f t="shared" si="13"/>
        <v>0.95878985962234187</v>
      </c>
      <c r="N26" s="6">
        <f t="shared" si="6"/>
        <v>0.88439620833731503</v>
      </c>
      <c r="O26" s="6">
        <f t="shared" si="1"/>
        <v>-4.1210140377658133E-2</v>
      </c>
      <c r="P26" s="7">
        <f>0.5*R26</f>
        <v>0.99670391574543871</v>
      </c>
      <c r="R26" s="6">
        <f t="shared" si="2"/>
        <v>1.9934078314908774</v>
      </c>
      <c r="S26" s="6">
        <f t="shared" si="14"/>
        <v>-6.1974929167520898E-3</v>
      </c>
      <c r="U26" s="6">
        <f>F26/R26</f>
        <v>0.5563395536196567</v>
      </c>
      <c r="V26" s="6">
        <f>N26/R26</f>
        <v>0.44366044638034341</v>
      </c>
      <c r="W26" s="7">
        <v>0.5</v>
      </c>
      <c r="X26" s="7">
        <v>0.5</v>
      </c>
      <c r="Y26" s="6">
        <f t="shared" si="7"/>
        <v>-6.1974929167520117E-3</v>
      </c>
      <c r="Z26" s="6">
        <f t="shared" si="8"/>
        <v>7.8062556418956319E-17</v>
      </c>
      <c r="AB26" s="6">
        <f t="shared" si="9"/>
        <v>2.3337070142162169E-2</v>
      </c>
      <c r="AC26" s="6">
        <f t="shared" si="10"/>
        <v>-4.2083352591371054E-2</v>
      </c>
      <c r="AD26" s="6">
        <f t="shared" si="11"/>
        <v>-6.2167770929613501E-3</v>
      </c>
    </row>
    <row r="27" spans="1:30" s="6" customFormat="1" x14ac:dyDescent="0.3">
      <c r="A27" s="5">
        <v>43864</v>
      </c>
      <c r="B27" s="6">
        <v>77.690002000000007</v>
      </c>
      <c r="C27" s="6">
        <v>87.660004000000001</v>
      </c>
      <c r="D27" s="6">
        <v>87.660004000000001</v>
      </c>
      <c r="E27" s="6">
        <f t="shared" si="12"/>
        <v>1.1488859836611016</v>
      </c>
      <c r="F27" s="7">
        <f>H26*E27</f>
        <v>1.1450991586600701</v>
      </c>
      <c r="G27" s="6">
        <f t="shared" si="0"/>
        <v>0.14888598366110162</v>
      </c>
      <c r="J27" s="6">
        <v>61.380001</v>
      </c>
      <c r="K27" s="6">
        <v>60.73</v>
      </c>
      <c r="L27" s="6">
        <v>54.505477999999997</v>
      </c>
      <c r="M27" s="6">
        <f t="shared" si="13"/>
        <v>0.9776239525005016</v>
      </c>
      <c r="N27" s="7">
        <f>P26*M27</f>
        <v>0.97440162158378274</v>
      </c>
      <c r="O27" s="6">
        <f t="shared" si="1"/>
        <v>-2.2376047499498397E-2</v>
      </c>
      <c r="R27" s="6">
        <f t="shared" si="2"/>
        <v>2.119500780243853</v>
      </c>
      <c r="S27" s="6">
        <f t="shared" si="14"/>
        <v>6.3254968080801666E-2</v>
      </c>
      <c r="W27" s="6">
        <f t="shared" si="3"/>
        <v>0.54026833551263143</v>
      </c>
      <c r="X27" s="6">
        <f t="shared" si="4"/>
        <v>0.45973166448736846</v>
      </c>
      <c r="Y27" s="7">
        <f t="shared" si="7"/>
        <v>6.325496808080161E-2</v>
      </c>
      <c r="Z27" s="6">
        <f t="shared" si="8"/>
        <v>5.5511151231257827E-17</v>
      </c>
      <c r="AB27" s="6">
        <f t="shared" si="9"/>
        <v>0.13879276301261834</v>
      </c>
      <c r="AC27" s="6">
        <f t="shared" si="10"/>
        <v>-2.2630189534658535E-2</v>
      </c>
      <c r="AD27" s="6">
        <f t="shared" si="11"/>
        <v>6.1334927683178796E-2</v>
      </c>
    </row>
    <row r="28" spans="1:30" x14ac:dyDescent="0.3">
      <c r="A28" s="1">
        <v>43865</v>
      </c>
      <c r="B28">
        <v>91.040001000000004</v>
      </c>
      <c r="C28">
        <v>85.790001000000004</v>
      </c>
      <c r="D28">
        <v>85.790001000000004</v>
      </c>
      <c r="E28">
        <f t="shared" si="12"/>
        <v>0.97866754603387884</v>
      </c>
      <c r="F28">
        <f t="shared" si="5"/>
        <v>1.12067138357131</v>
      </c>
      <c r="G28">
        <f t="shared" si="0"/>
        <v>-2.1332453966121157E-2</v>
      </c>
      <c r="J28">
        <v>61.450001</v>
      </c>
      <c r="K28">
        <v>59.970001000000003</v>
      </c>
      <c r="L28">
        <v>53.82338</v>
      </c>
      <c r="M28">
        <f t="shared" si="13"/>
        <v>0.987485698226516</v>
      </c>
      <c r="N28">
        <f t="shared" si="6"/>
        <v>0.9622076656427111</v>
      </c>
      <c r="O28">
        <f t="shared" si="1"/>
        <v>-1.2514301773484005E-2</v>
      </c>
      <c r="R28">
        <f t="shared" si="2"/>
        <v>2.082879049214021</v>
      </c>
      <c r="S28">
        <f t="shared" si="14"/>
        <v>-1.7278470180897343E-2</v>
      </c>
      <c r="W28">
        <f t="shared" si="3"/>
        <v>0.53803958707741473</v>
      </c>
      <c r="X28">
        <f t="shared" si="4"/>
        <v>0.46196041292258533</v>
      </c>
      <c r="Y28">
        <f t="shared" si="7"/>
        <v>-1.7278470180897138E-2</v>
      </c>
      <c r="Z28">
        <f t="shared" si="8"/>
        <v>2.0469737016526324E-16</v>
      </c>
      <c r="AB28">
        <f t="shared" si="9"/>
        <v>-2.1563279380264481E-2</v>
      </c>
      <c r="AC28">
        <f t="shared" si="10"/>
        <v>-1.2593265120328399E-2</v>
      </c>
      <c r="AD28">
        <f t="shared" si="11"/>
        <v>-1.7429485011680575E-2</v>
      </c>
    </row>
    <row r="29" spans="1:30" x14ac:dyDescent="0.3">
      <c r="A29" s="1">
        <v>43866</v>
      </c>
      <c r="B29">
        <v>85.769997000000004</v>
      </c>
      <c r="C29">
        <v>86.989998</v>
      </c>
      <c r="D29">
        <v>86.989998</v>
      </c>
      <c r="E29">
        <f t="shared" si="12"/>
        <v>1.0139876091154258</v>
      </c>
      <c r="F29">
        <f t="shared" si="5"/>
        <v>1.1363468968315489</v>
      </c>
      <c r="G29">
        <f t="shared" si="0"/>
        <v>1.3987609115425848E-2</v>
      </c>
      <c r="J29">
        <v>60.75</v>
      </c>
      <c r="K29">
        <v>62.73</v>
      </c>
      <c r="L29">
        <v>56.300494999999998</v>
      </c>
      <c r="M29">
        <f t="shared" si="13"/>
        <v>1.0460230293972619</v>
      </c>
      <c r="N29">
        <f t="shared" si="6"/>
        <v>1.0064913773248563</v>
      </c>
      <c r="O29">
        <f t="shared" si="1"/>
        <v>4.6023029397261883E-2</v>
      </c>
      <c r="R29">
        <f t="shared" si="2"/>
        <v>2.1428382741564054</v>
      </c>
      <c r="S29">
        <f t="shared" si="14"/>
        <v>2.8786705096971454E-2</v>
      </c>
      <c r="W29">
        <f t="shared" si="3"/>
        <v>0.53029988802067063</v>
      </c>
      <c r="X29">
        <f t="shared" si="4"/>
        <v>0.46970011197932926</v>
      </c>
      <c r="Y29">
        <f t="shared" si="7"/>
        <v>2.8786705096971385E-2</v>
      </c>
      <c r="Z29">
        <f t="shared" si="8"/>
        <v>6.9388939039072284E-17</v>
      </c>
      <c r="AB29">
        <f t="shared" si="9"/>
        <v>1.3890685287056628E-2</v>
      </c>
      <c r="AC29">
        <f t="shared" si="10"/>
        <v>4.4995382032550199E-2</v>
      </c>
      <c r="AD29">
        <f t="shared" si="11"/>
        <v>2.8380151689269505E-2</v>
      </c>
    </row>
    <row r="30" spans="1:30" x14ac:dyDescent="0.3">
      <c r="A30" s="1">
        <v>43867</v>
      </c>
      <c r="B30">
        <v>87</v>
      </c>
      <c r="C30">
        <v>87.260002</v>
      </c>
      <c r="D30">
        <v>87.260002</v>
      </c>
      <c r="E30">
        <f t="shared" si="12"/>
        <v>1.0031038510887194</v>
      </c>
      <c r="F30">
        <f t="shared" si="5"/>
        <v>1.1398739483844424</v>
      </c>
      <c r="G30">
        <f t="shared" si="0"/>
        <v>3.103851088719356E-3</v>
      </c>
      <c r="J30">
        <v>62.93</v>
      </c>
      <c r="K30">
        <v>61.880001</v>
      </c>
      <c r="L30">
        <v>55.537621000000001</v>
      </c>
      <c r="M30">
        <f t="shared" si="13"/>
        <v>0.9864499592765571</v>
      </c>
      <c r="N30">
        <f t="shared" si="6"/>
        <v>0.9928533781743103</v>
      </c>
      <c r="O30">
        <f t="shared" si="1"/>
        <v>-1.3550040723442902E-2</v>
      </c>
      <c r="R30">
        <f t="shared" si="2"/>
        <v>2.1327273265587525</v>
      </c>
      <c r="S30">
        <f t="shared" si="14"/>
        <v>-4.7184837603451157E-3</v>
      </c>
      <c r="W30">
        <f t="shared" si="3"/>
        <v>0.53446773724406593</v>
      </c>
      <c r="X30">
        <f t="shared" si="4"/>
        <v>0.46553226275593423</v>
      </c>
      <c r="Y30">
        <f t="shared" si="7"/>
        <v>-4.718483760344892E-3</v>
      </c>
      <c r="Z30">
        <f t="shared" si="8"/>
        <v>2.2377932840100812E-16</v>
      </c>
      <c r="AB30">
        <f t="shared" si="9"/>
        <v>3.099044087171674E-3</v>
      </c>
      <c r="AC30">
        <f t="shared" si="10"/>
        <v>-1.3642680323984633E-2</v>
      </c>
      <c r="AD30">
        <f t="shared" si="11"/>
        <v>-4.7296509468162679E-3</v>
      </c>
    </row>
    <row r="31" spans="1:30" x14ac:dyDescent="0.3">
      <c r="A31" s="1">
        <v>43868</v>
      </c>
      <c r="B31">
        <v>87.230002999999996</v>
      </c>
      <c r="C31">
        <v>88.639999000000003</v>
      </c>
      <c r="D31">
        <v>88.639999000000003</v>
      </c>
      <c r="E31">
        <f t="shared" si="12"/>
        <v>1.015814771583434</v>
      </c>
      <c r="F31">
        <f t="shared" si="5"/>
        <v>1.1579007945120494</v>
      </c>
      <c r="G31">
        <f t="shared" si="0"/>
        <v>1.5814771583434029E-2</v>
      </c>
      <c r="J31">
        <v>61.41</v>
      </c>
      <c r="K31">
        <v>61.470001000000003</v>
      </c>
      <c r="L31">
        <v>55.169635999999997</v>
      </c>
      <c r="M31">
        <f t="shared" si="13"/>
        <v>0.99337413102372529</v>
      </c>
      <c r="N31">
        <f t="shared" si="6"/>
        <v>0.9862748617778756</v>
      </c>
      <c r="O31">
        <f t="shared" si="1"/>
        <v>-6.6258689762747069E-3</v>
      </c>
      <c r="R31">
        <f t="shared" si="2"/>
        <v>2.1441756562899252</v>
      </c>
      <c r="S31">
        <f t="shared" si="14"/>
        <v>5.3679294059805205E-3</v>
      </c>
      <c r="W31">
        <f t="shared" si="3"/>
        <v>0.54002142553729449</v>
      </c>
      <c r="X31">
        <f t="shared" si="4"/>
        <v>0.4599785744627054</v>
      </c>
      <c r="Y31">
        <f t="shared" si="7"/>
        <v>5.3679294059802299E-3</v>
      </c>
      <c r="Z31">
        <f t="shared" si="8"/>
        <v>2.9056618222611519E-16</v>
      </c>
      <c r="AB31">
        <f t="shared" si="9"/>
        <v>1.5691021101912676E-2</v>
      </c>
      <c r="AC31">
        <f t="shared" si="10"/>
        <v>-6.647917493812998E-3</v>
      </c>
      <c r="AD31">
        <f t="shared" si="11"/>
        <v>5.3535734246073999E-3</v>
      </c>
    </row>
    <row r="32" spans="1:30" x14ac:dyDescent="0.3">
      <c r="A32" s="1">
        <v>43871</v>
      </c>
      <c r="B32">
        <v>89.089995999999999</v>
      </c>
      <c r="C32">
        <v>89.669998000000007</v>
      </c>
      <c r="D32">
        <v>89.669998000000007</v>
      </c>
      <c r="E32">
        <f t="shared" si="12"/>
        <v>1.0116200249505869</v>
      </c>
      <c r="F32">
        <f t="shared" si="5"/>
        <v>1.1713556306345838</v>
      </c>
      <c r="G32">
        <f t="shared" si="0"/>
        <v>1.1620024950586894E-2</v>
      </c>
      <c r="J32">
        <v>60.48</v>
      </c>
      <c r="K32">
        <v>59.959999000000003</v>
      </c>
      <c r="L32">
        <v>54.586987000000001</v>
      </c>
      <c r="M32">
        <f t="shared" si="13"/>
        <v>0.98943895515279467</v>
      </c>
      <c r="N32">
        <f t="shared" si="6"/>
        <v>0.97585876873096822</v>
      </c>
      <c r="O32">
        <f t="shared" si="1"/>
        <v>-1.0561044847205325E-2</v>
      </c>
      <c r="R32">
        <f t="shared" si="2"/>
        <v>2.1472143993655521</v>
      </c>
      <c r="S32">
        <f t="shared" si="14"/>
        <v>1.4172080849406132E-3</v>
      </c>
      <c r="W32">
        <f t="shared" si="3"/>
        <v>0.54552336784845046</v>
      </c>
      <c r="X32">
        <f t="shared" si="4"/>
        <v>0.45447663215154943</v>
      </c>
      <c r="Y32">
        <f t="shared" si="7"/>
        <v>1.4172080849406583E-3</v>
      </c>
      <c r="Z32">
        <f t="shared" si="8"/>
        <v>4.5102810375396984E-17</v>
      </c>
      <c r="AB32">
        <f t="shared" si="9"/>
        <v>1.1553030942567167E-2</v>
      </c>
      <c r="AC32">
        <f t="shared" si="10"/>
        <v>-1.0617208462296872E-2</v>
      </c>
      <c r="AD32">
        <f t="shared" si="11"/>
        <v>1.4162047933660251E-3</v>
      </c>
    </row>
    <row r="33" spans="1:30" x14ac:dyDescent="0.3">
      <c r="A33" s="1">
        <v>43872</v>
      </c>
      <c r="B33">
        <v>90</v>
      </c>
      <c r="C33">
        <v>88.68</v>
      </c>
      <c r="D33">
        <v>88.68</v>
      </c>
      <c r="E33">
        <f t="shared" si="12"/>
        <v>0.98895954029128008</v>
      </c>
      <c r="F33">
        <f t="shared" si="5"/>
        <v>1.1584233259899805</v>
      </c>
      <c r="G33">
        <f t="shared" si="0"/>
        <v>-1.1040459708719919E-2</v>
      </c>
      <c r="J33">
        <v>60.580002</v>
      </c>
      <c r="K33">
        <v>60.529998999999997</v>
      </c>
      <c r="L33">
        <v>55.105907000000002</v>
      </c>
      <c r="M33">
        <f t="shared" si="13"/>
        <v>1.0095062949709974</v>
      </c>
      <c r="N33">
        <f t="shared" si="6"/>
        <v>0.98513557003655916</v>
      </c>
      <c r="O33">
        <f t="shared" si="1"/>
        <v>9.5062949709974198E-3</v>
      </c>
      <c r="R33">
        <f t="shared" si="2"/>
        <v>2.1435588960265397</v>
      </c>
      <c r="S33">
        <f t="shared" si="14"/>
        <v>-1.7024398402378793E-3</v>
      </c>
      <c r="W33">
        <f t="shared" si="3"/>
        <v>0.54042057259883092</v>
      </c>
      <c r="X33">
        <f t="shared" si="4"/>
        <v>0.45957942740116903</v>
      </c>
      <c r="Y33">
        <f t="shared" si="7"/>
        <v>-1.7024398402378932E-3</v>
      </c>
      <c r="Z33">
        <f t="shared" si="8"/>
        <v>1.3877787807814457E-17</v>
      </c>
      <c r="AB33">
        <f t="shared" si="9"/>
        <v>-1.11018579118416E-2</v>
      </c>
      <c r="AC33">
        <f t="shared" si="10"/>
        <v>9.461394482860758E-3</v>
      </c>
      <c r="AD33">
        <f t="shared" si="11"/>
        <v>-1.7038906377735254E-3</v>
      </c>
    </row>
    <row r="34" spans="1:30" x14ac:dyDescent="0.3">
      <c r="A34" s="1">
        <v>43873</v>
      </c>
      <c r="B34">
        <v>88.660004000000001</v>
      </c>
      <c r="C34">
        <v>88.279999000000004</v>
      </c>
      <c r="D34">
        <v>88.279999000000004</v>
      </c>
      <c r="E34">
        <f t="shared" si="12"/>
        <v>0.99548938881371218</v>
      </c>
      <c r="F34">
        <f t="shared" si="5"/>
        <v>1.1531981287773134</v>
      </c>
      <c r="G34">
        <f t="shared" si="0"/>
        <v>-4.5106111862878162E-3</v>
      </c>
      <c r="J34">
        <v>61.34</v>
      </c>
      <c r="K34">
        <v>61.27</v>
      </c>
      <c r="L34">
        <v>55.779594000000003</v>
      </c>
      <c r="M34">
        <f t="shared" si="13"/>
        <v>1.0122253137036652</v>
      </c>
      <c r="N34">
        <f t="shared" si="6"/>
        <v>0.99717916142089513</v>
      </c>
      <c r="O34">
        <f t="shared" si="1"/>
        <v>1.2225313703665197E-2</v>
      </c>
      <c r="R34">
        <f t="shared" si="2"/>
        <v>2.1503772901982083</v>
      </c>
      <c r="S34">
        <f t="shared" si="14"/>
        <v>3.1808755916655773E-3</v>
      </c>
      <c r="W34">
        <f t="shared" si="3"/>
        <v>0.53627711473413986</v>
      </c>
      <c r="X34">
        <f t="shared" si="4"/>
        <v>0.4637228852658602</v>
      </c>
      <c r="Y34">
        <f t="shared" si="7"/>
        <v>3.1808755916657625E-3</v>
      </c>
      <c r="Z34">
        <f t="shared" si="8"/>
        <v>1.8518173106052416E-16</v>
      </c>
      <c r="AB34">
        <f t="shared" si="9"/>
        <v>-4.5208146871691893E-3</v>
      </c>
      <c r="AC34">
        <f t="shared" si="10"/>
        <v>1.2151188083891094E-2</v>
      </c>
      <c r="AD34">
        <f t="shared" si="11"/>
        <v>3.1758273093731499E-3</v>
      </c>
    </row>
    <row r="35" spans="1:30" x14ac:dyDescent="0.3">
      <c r="A35" s="1">
        <v>43874</v>
      </c>
      <c r="B35">
        <v>87.610000999999997</v>
      </c>
      <c r="C35">
        <v>89.860000999999997</v>
      </c>
      <c r="D35">
        <v>89.860000999999997</v>
      </c>
      <c r="E35">
        <f t="shared" si="12"/>
        <v>1.0178976214079929</v>
      </c>
      <c r="F35">
        <f t="shared" si="5"/>
        <v>1.1738376322945756</v>
      </c>
      <c r="G35">
        <f t="shared" si="0"/>
        <v>1.7897621407992892E-2</v>
      </c>
      <c r="J35">
        <v>61.060001</v>
      </c>
      <c r="K35">
        <v>60.93</v>
      </c>
      <c r="L35">
        <v>55.470061999999999</v>
      </c>
      <c r="M35">
        <f t="shared" si="13"/>
        <v>0.99445080220555204</v>
      </c>
      <c r="N35">
        <f t="shared" si="6"/>
        <v>0.99164561701766885</v>
      </c>
      <c r="O35">
        <f t="shared" si="1"/>
        <v>-5.5491977944479576E-3</v>
      </c>
      <c r="R35">
        <f t="shared" si="2"/>
        <v>2.1654832493122447</v>
      </c>
      <c r="S35">
        <f t="shared" si="14"/>
        <v>7.0247947571302483E-3</v>
      </c>
      <c r="W35">
        <f t="shared" si="3"/>
        <v>0.54206728806024485</v>
      </c>
      <c r="X35">
        <f t="shared" si="4"/>
        <v>0.45793271193975504</v>
      </c>
      <c r="Y35">
        <f t="shared" si="7"/>
        <v>7.024794757130047E-3</v>
      </c>
      <c r="Z35">
        <f t="shared" si="8"/>
        <v>2.0122792321330962E-16</v>
      </c>
      <c r="AB35">
        <f t="shared" si="9"/>
        <v>1.7739344709494152E-2</v>
      </c>
      <c r="AC35">
        <f t="shared" si="10"/>
        <v>-5.5646517905662274E-3</v>
      </c>
      <c r="AD35">
        <f t="shared" si="11"/>
        <v>7.0002358336268711E-3</v>
      </c>
    </row>
    <row r="36" spans="1:30" x14ac:dyDescent="0.3">
      <c r="A36" s="1">
        <v>43875</v>
      </c>
      <c r="B36">
        <v>90.879997000000003</v>
      </c>
      <c r="C36">
        <v>90.949996999999996</v>
      </c>
      <c r="D36">
        <v>90.949996999999996</v>
      </c>
      <c r="E36">
        <f t="shared" si="12"/>
        <v>1.0121299353201654</v>
      </c>
      <c r="F36">
        <f t="shared" si="5"/>
        <v>1.1880762068506849</v>
      </c>
      <c r="G36">
        <f t="shared" si="0"/>
        <v>1.2129935320165375E-2</v>
      </c>
      <c r="J36">
        <v>61.150002000000001</v>
      </c>
      <c r="K36">
        <v>60.650002000000001</v>
      </c>
      <c r="L36">
        <v>55.215156999999998</v>
      </c>
      <c r="M36">
        <f t="shared" si="13"/>
        <v>0.99540463827136161</v>
      </c>
      <c r="N36">
        <f t="shared" si="6"/>
        <v>0.98708864670085383</v>
      </c>
      <c r="O36">
        <f t="shared" si="1"/>
        <v>-4.5953617286383919E-3</v>
      </c>
      <c r="R36">
        <f t="shared" si="2"/>
        <v>2.1751648535515389</v>
      </c>
      <c r="S36">
        <f t="shared" si="14"/>
        <v>4.4708746846087166E-3</v>
      </c>
      <c r="W36">
        <f t="shared" si="3"/>
        <v>0.5462005350586796</v>
      </c>
      <c r="X36">
        <f t="shared" si="4"/>
        <v>0.4537994649413204</v>
      </c>
      <c r="Y36">
        <f t="shared" si="7"/>
        <v>4.4708746846086828E-3</v>
      </c>
      <c r="Z36">
        <f t="shared" si="8"/>
        <v>3.3827107781547738E-17</v>
      </c>
      <c r="AB36">
        <f t="shared" si="9"/>
        <v>1.2056957208538173E-2</v>
      </c>
      <c r="AC36">
        <f t="shared" si="10"/>
        <v>-4.60595286253039E-3</v>
      </c>
      <c r="AD36">
        <f t="shared" si="11"/>
        <v>4.4609100138760889E-3</v>
      </c>
    </row>
    <row r="37" spans="1:30" x14ac:dyDescent="0.3">
      <c r="A37" s="1">
        <v>43879</v>
      </c>
      <c r="B37">
        <v>93.019997000000004</v>
      </c>
      <c r="C37">
        <v>96.389999000000003</v>
      </c>
      <c r="D37">
        <v>96.389999000000003</v>
      </c>
      <c r="E37">
        <f t="shared" si="12"/>
        <v>1.0598131080751989</v>
      </c>
      <c r="F37">
        <f t="shared" si="5"/>
        <v>1.2591387374126173</v>
      </c>
      <c r="G37">
        <f t="shared" si="0"/>
        <v>5.9813108075198906E-2</v>
      </c>
      <c r="J37">
        <v>60.150002000000001</v>
      </c>
      <c r="K37">
        <v>59.880001</v>
      </c>
      <c r="L37">
        <v>54.514156</v>
      </c>
      <c r="M37">
        <f t="shared" si="13"/>
        <v>0.98730419257886026</v>
      </c>
      <c r="N37">
        <f t="shared" si="6"/>
        <v>0.97455675933474639</v>
      </c>
      <c r="O37">
        <f t="shared" si="1"/>
        <v>-1.2695807421139738E-2</v>
      </c>
      <c r="R37">
        <f t="shared" si="2"/>
        <v>2.2336954967473637</v>
      </c>
      <c r="S37">
        <f t="shared" si="14"/>
        <v>2.6908601019485001E-2</v>
      </c>
      <c r="W37">
        <f t="shared" si="3"/>
        <v>0.56370205305339738</v>
      </c>
      <c r="X37">
        <f t="shared" si="4"/>
        <v>0.43629794694660257</v>
      </c>
      <c r="Y37">
        <f t="shared" si="7"/>
        <v>2.6908601019485015E-2</v>
      </c>
      <c r="Z37">
        <f t="shared" si="8"/>
        <v>1.3877787807814457E-17</v>
      </c>
      <c r="AB37">
        <f t="shared" si="9"/>
        <v>5.8092579442382684E-2</v>
      </c>
      <c r="AC37">
        <f t="shared" si="10"/>
        <v>-1.2777087864218193E-2</v>
      </c>
      <c r="AD37">
        <f t="shared" si="11"/>
        <v>2.6552930899846599E-2</v>
      </c>
    </row>
    <row r="38" spans="1:30" x14ac:dyDescent="0.3">
      <c r="A38" s="1">
        <v>43880</v>
      </c>
      <c r="B38">
        <v>100.32</v>
      </c>
      <c r="C38">
        <v>103.93</v>
      </c>
      <c r="D38">
        <v>103.93</v>
      </c>
      <c r="E38">
        <f t="shared" si="12"/>
        <v>1.0782238933315063</v>
      </c>
      <c r="F38">
        <f t="shared" si="5"/>
        <v>1.3576334716975493</v>
      </c>
      <c r="G38">
        <f t="shared" si="0"/>
        <v>7.8223893331506256E-2</v>
      </c>
      <c r="J38">
        <v>60.110000999999997</v>
      </c>
      <c r="K38">
        <v>60.34</v>
      </c>
      <c r="L38">
        <v>54.932929999999999</v>
      </c>
      <c r="M38">
        <f t="shared" si="13"/>
        <v>1.0076819312767127</v>
      </c>
      <c r="N38">
        <f t="shared" si="6"/>
        <v>0.98204323738521171</v>
      </c>
      <c r="O38">
        <f t="shared" si="1"/>
        <v>7.6819312767126835E-3</v>
      </c>
      <c r="R38">
        <f t="shared" si="2"/>
        <v>2.3396767090827613</v>
      </c>
      <c r="S38">
        <f t="shared" si="14"/>
        <v>4.7446580113414738E-2</v>
      </c>
      <c r="W38">
        <f t="shared" si="3"/>
        <v>0.58026541292099765</v>
      </c>
      <c r="X38">
        <f t="shared" si="4"/>
        <v>0.41973458707900224</v>
      </c>
      <c r="Y38">
        <f t="shared" si="7"/>
        <v>4.7446580113414676E-2</v>
      </c>
      <c r="Z38">
        <f t="shared" si="8"/>
        <v>6.2450045135165055E-17</v>
      </c>
      <c r="AB38">
        <f t="shared" si="9"/>
        <v>7.5315144178973698E-2</v>
      </c>
      <c r="AC38">
        <f t="shared" si="10"/>
        <v>7.6525754862368737E-3</v>
      </c>
      <c r="AD38">
        <f t="shared" si="11"/>
        <v>4.6355374008645443E-2</v>
      </c>
    </row>
    <row r="39" spans="1:30" x14ac:dyDescent="0.3">
      <c r="A39" s="1">
        <v>43881</v>
      </c>
      <c r="B39">
        <v>104</v>
      </c>
      <c r="C39">
        <v>105.290001</v>
      </c>
      <c r="D39">
        <v>105.290001</v>
      </c>
      <c r="E39">
        <f t="shared" si="12"/>
        <v>1.0130857404021938</v>
      </c>
      <c r="F39">
        <f t="shared" si="5"/>
        <v>1.3753991108695125</v>
      </c>
      <c r="G39">
        <f t="shared" si="0"/>
        <v>1.3085740402193791E-2</v>
      </c>
      <c r="J39">
        <v>60.23</v>
      </c>
      <c r="K39">
        <v>59.860000999999997</v>
      </c>
      <c r="L39">
        <v>54.495953</v>
      </c>
      <c r="M39">
        <f t="shared" si="13"/>
        <v>0.99204526319641062</v>
      </c>
      <c r="N39">
        <f t="shared" si="6"/>
        <v>0.9742313419020675</v>
      </c>
      <c r="O39">
        <f t="shared" si="1"/>
        <v>-7.9547368035893795E-3</v>
      </c>
      <c r="R39">
        <f t="shared" si="2"/>
        <v>2.3496304527715801</v>
      </c>
      <c r="S39">
        <f t="shared" si="14"/>
        <v>4.2543243902790628E-3</v>
      </c>
      <c r="W39">
        <f t="shared" si="3"/>
        <v>0.58536826897485839</v>
      </c>
      <c r="X39">
        <f t="shared" si="4"/>
        <v>0.41463173102514161</v>
      </c>
      <c r="Y39">
        <f t="shared" si="7"/>
        <v>4.2543243902792311E-3</v>
      </c>
      <c r="Z39">
        <f t="shared" si="8"/>
        <v>1.6826817716975029E-16</v>
      </c>
      <c r="AB39">
        <f t="shared" si="9"/>
        <v>1.300086176591575E-2</v>
      </c>
      <c r="AC39">
        <f t="shared" si="10"/>
        <v>-7.9865445160117992E-3</v>
      </c>
      <c r="AD39">
        <f t="shared" si="11"/>
        <v>4.2453003373824679E-3</v>
      </c>
    </row>
    <row r="40" spans="1:30" x14ac:dyDescent="0.3">
      <c r="A40" s="1">
        <v>43882</v>
      </c>
      <c r="B40">
        <v>104.029999</v>
      </c>
      <c r="C40">
        <v>101.760002</v>
      </c>
      <c r="D40">
        <v>101.760002</v>
      </c>
      <c r="E40">
        <f t="shared" si="12"/>
        <v>0.96647355906094057</v>
      </c>
      <c r="F40">
        <f t="shared" si="5"/>
        <v>1.3292868738113108</v>
      </c>
      <c r="G40">
        <f t="shared" si="0"/>
        <v>-3.3526440939059432E-2</v>
      </c>
      <c r="J40">
        <v>59.509998000000003</v>
      </c>
      <c r="K40">
        <v>59.130001</v>
      </c>
      <c r="L40">
        <v>53.831364000000001</v>
      </c>
      <c r="M40">
        <f t="shared" si="13"/>
        <v>0.98780480084456912</v>
      </c>
      <c r="N40">
        <f t="shared" si="6"/>
        <v>0.96235039666410915</v>
      </c>
      <c r="O40">
        <f t="shared" si="1"/>
        <v>-1.219519915543088E-2</v>
      </c>
      <c r="R40">
        <f t="shared" si="2"/>
        <v>2.29163727047542</v>
      </c>
      <c r="S40">
        <f t="shared" si="14"/>
        <v>-2.4681831233397733E-2</v>
      </c>
      <c r="W40">
        <f t="shared" si="3"/>
        <v>0.58005989470381536</v>
      </c>
      <c r="X40">
        <f t="shared" si="4"/>
        <v>0.4199401052961847</v>
      </c>
      <c r="Y40">
        <f t="shared" si="7"/>
        <v>-2.4681831233397698E-2</v>
      </c>
      <c r="Z40">
        <f t="shared" si="8"/>
        <v>3.4694469519536142E-17</v>
      </c>
      <c r="AB40">
        <f t="shared" si="9"/>
        <v>-3.4101338120346256E-2</v>
      </c>
      <c r="AC40">
        <f t="shared" si="10"/>
        <v>-1.2270170749167182E-2</v>
      </c>
      <c r="AD40">
        <f t="shared" si="11"/>
        <v>-2.4991534277240299E-2</v>
      </c>
    </row>
    <row r="41" spans="1:30" x14ac:dyDescent="0.3">
      <c r="A41" s="1">
        <v>43885</v>
      </c>
      <c r="B41">
        <v>97.800003000000004</v>
      </c>
      <c r="C41">
        <v>105.010002</v>
      </c>
      <c r="D41">
        <v>105.010002</v>
      </c>
      <c r="E41">
        <f t="shared" si="12"/>
        <v>1.0319378924540508</v>
      </c>
      <c r="F41">
        <f t="shared" si="5"/>
        <v>1.3717414950276778</v>
      </c>
      <c r="G41">
        <f t="shared" si="0"/>
        <v>3.1937892454050765E-2</v>
      </c>
      <c r="J41">
        <v>57.619999</v>
      </c>
      <c r="K41">
        <v>56.360000999999997</v>
      </c>
      <c r="L41">
        <v>51.309581999999999</v>
      </c>
      <c r="M41">
        <f t="shared" si="13"/>
        <v>0.95315403860099102</v>
      </c>
      <c r="N41">
        <f t="shared" si="6"/>
        <v>0.9172681671296613</v>
      </c>
      <c r="O41">
        <f t="shared" si="1"/>
        <v>-4.6845961399008984E-2</v>
      </c>
      <c r="R41">
        <f t="shared" si="2"/>
        <v>2.2890096621573393</v>
      </c>
      <c r="S41">
        <f t="shared" si="14"/>
        <v>-1.1466074286423655E-3</v>
      </c>
      <c r="W41">
        <f t="shared" si="3"/>
        <v>0.59927291601506083</v>
      </c>
      <c r="X41">
        <f t="shared" si="4"/>
        <v>0.40072708398493917</v>
      </c>
      <c r="Y41">
        <f t="shared" si="7"/>
        <v>-1.146607428642369E-3</v>
      </c>
      <c r="Z41">
        <f t="shared" si="8"/>
        <v>3.4694469519536142E-18</v>
      </c>
      <c r="AB41">
        <f t="shared" si="9"/>
        <v>3.1438483517807023E-2</v>
      </c>
      <c r="AC41">
        <f t="shared" si="10"/>
        <v>-4.7978752921553361E-2</v>
      </c>
      <c r="AD41">
        <f t="shared" si="11"/>
        <v>-1.1472652858574666E-3</v>
      </c>
    </row>
    <row r="42" spans="1:30" x14ac:dyDescent="0.3">
      <c r="A42" s="1">
        <v>43886</v>
      </c>
      <c r="B42">
        <v>108.519997</v>
      </c>
      <c r="C42">
        <v>107.08000199999999</v>
      </c>
      <c r="D42">
        <v>107.08000199999999</v>
      </c>
      <c r="E42">
        <f t="shared" si="12"/>
        <v>1.019712407966624</v>
      </c>
      <c r="F42">
        <f t="shared" si="5"/>
        <v>1.3987818230024101</v>
      </c>
      <c r="G42">
        <f t="shared" si="0"/>
        <v>1.971240796662399E-2</v>
      </c>
      <c r="J42">
        <v>56.75</v>
      </c>
      <c r="K42">
        <v>54.200001</v>
      </c>
      <c r="L42">
        <v>49.343142999999998</v>
      </c>
      <c r="M42">
        <f t="shared" si="13"/>
        <v>0.96167501423028545</v>
      </c>
      <c r="N42">
        <f t="shared" si="6"/>
        <v>0.8821138776774049</v>
      </c>
      <c r="O42">
        <f t="shared" si="1"/>
        <v>-3.8324985769714548E-2</v>
      </c>
      <c r="R42">
        <f t="shared" si="2"/>
        <v>2.2808957006798147</v>
      </c>
      <c r="S42">
        <f t="shared" si="14"/>
        <v>-3.5447475874249568E-3</v>
      </c>
      <c r="W42">
        <f t="shared" si="3"/>
        <v>0.61325987969792173</v>
      </c>
      <c r="X42">
        <f t="shared" si="4"/>
        <v>0.38674012030207838</v>
      </c>
      <c r="Y42">
        <f t="shared" si="7"/>
        <v>-3.5447475874247261E-3</v>
      </c>
      <c r="Z42">
        <f t="shared" si="8"/>
        <v>2.3071822230491534E-16</v>
      </c>
      <c r="AB42">
        <f t="shared" si="9"/>
        <v>1.9520634566068822E-2</v>
      </c>
      <c r="AC42">
        <f t="shared" si="10"/>
        <v>-3.9078708436931439E-2</v>
      </c>
      <c r="AD42">
        <f t="shared" si="11"/>
        <v>-3.5510450916004764E-3</v>
      </c>
    </row>
    <row r="43" spans="1:30" x14ac:dyDescent="0.3">
      <c r="A43" s="1">
        <v>43887</v>
      </c>
      <c r="B43">
        <v>109.943001</v>
      </c>
      <c r="C43">
        <v>106.879997</v>
      </c>
      <c r="D43">
        <v>106.879997</v>
      </c>
      <c r="E43">
        <f t="shared" si="12"/>
        <v>0.99813219092020566</v>
      </c>
      <c r="F43">
        <f t="shared" si="5"/>
        <v>1.3961691656127548</v>
      </c>
      <c r="G43">
        <f t="shared" si="0"/>
        <v>-1.8678090797943359E-3</v>
      </c>
      <c r="J43">
        <v>54.549999</v>
      </c>
      <c r="K43">
        <v>53.009998000000003</v>
      </c>
      <c r="L43">
        <v>48.259773000000003</v>
      </c>
      <c r="M43">
        <f t="shared" si="13"/>
        <v>0.97804416309678543</v>
      </c>
      <c r="N43">
        <f t="shared" si="6"/>
        <v>0.86274632924905759</v>
      </c>
      <c r="O43">
        <f t="shared" si="1"/>
        <v>-2.1955836903214565E-2</v>
      </c>
      <c r="R43">
        <f t="shared" si="2"/>
        <v>2.2589154948618124</v>
      </c>
      <c r="S43">
        <f t="shared" si="14"/>
        <v>-9.6366553768553187E-3</v>
      </c>
      <c r="W43">
        <f t="shared" si="3"/>
        <v>0.61807056031468077</v>
      </c>
      <c r="X43">
        <f t="shared" si="4"/>
        <v>0.38192943968531923</v>
      </c>
      <c r="Y43">
        <f t="shared" si="7"/>
        <v>-9.6366553768553742E-3</v>
      </c>
      <c r="Z43">
        <f t="shared" si="8"/>
        <v>5.5511151231257827E-17</v>
      </c>
      <c r="AB43">
        <f t="shared" si="9"/>
        <v>-1.8695556103028236E-3</v>
      </c>
      <c r="AC43">
        <f t="shared" si="10"/>
        <v>-2.2200453426165206E-2</v>
      </c>
      <c r="AD43">
        <f t="shared" si="11"/>
        <v>-9.6833884160948316E-3</v>
      </c>
    </row>
    <row r="44" spans="1:30" x14ac:dyDescent="0.3">
      <c r="A44" s="1">
        <v>43888</v>
      </c>
      <c r="B44">
        <v>109.43</v>
      </c>
      <c r="C44">
        <v>113.550003</v>
      </c>
      <c r="D44">
        <v>113.550003</v>
      </c>
      <c r="E44">
        <f t="shared" si="12"/>
        <v>1.0624064950151524</v>
      </c>
      <c r="F44">
        <f t="shared" si="5"/>
        <v>1.4832991896868768</v>
      </c>
      <c r="G44">
        <f t="shared" si="0"/>
        <v>6.2406495015152386E-2</v>
      </c>
      <c r="J44">
        <v>51.709999000000003</v>
      </c>
      <c r="K44">
        <v>49.82</v>
      </c>
      <c r="L44">
        <v>45.355629</v>
      </c>
      <c r="M44">
        <f t="shared" si="13"/>
        <v>0.9398226759168552</v>
      </c>
      <c r="N44">
        <f t="shared" si="6"/>
        <v>0.81082856379229351</v>
      </c>
      <c r="O44">
        <f t="shared" si="1"/>
        <v>-6.0177324083144801E-2</v>
      </c>
      <c r="R44">
        <f t="shared" si="2"/>
        <v>2.2941277534791702</v>
      </c>
      <c r="S44">
        <f t="shared" si="14"/>
        <v>1.5588125672453268E-2</v>
      </c>
      <c r="W44">
        <f t="shared" si="3"/>
        <v>0.64656346510667184</v>
      </c>
      <c r="X44">
        <f t="shared" si="4"/>
        <v>0.35343653489332827</v>
      </c>
      <c r="Y44">
        <f t="shared" si="7"/>
        <v>1.5588125672453209E-2</v>
      </c>
      <c r="Z44">
        <f t="shared" si="8"/>
        <v>5.8980598183211441E-17</v>
      </c>
      <c r="AB44">
        <f t="shared" si="9"/>
        <v>6.053661325217348E-2</v>
      </c>
      <c r="AC44">
        <f t="shared" si="10"/>
        <v>-6.2064064154992001E-2</v>
      </c>
      <c r="AD44">
        <f t="shared" si="11"/>
        <v>1.546787884664922E-2</v>
      </c>
    </row>
    <row r="45" spans="1:30" s="6" customFormat="1" x14ac:dyDescent="0.3">
      <c r="A45" s="5">
        <v>43889</v>
      </c>
      <c r="B45" s="6">
        <v>121.07</v>
      </c>
      <c r="C45" s="6">
        <v>105</v>
      </c>
      <c r="D45" s="6">
        <v>105</v>
      </c>
      <c r="E45" s="6">
        <f t="shared" si="12"/>
        <v>0.92470274967760235</v>
      </c>
      <c r="F45" s="6">
        <f t="shared" si="5"/>
        <v>1.3716108392980144</v>
      </c>
      <c r="G45" s="6">
        <f t="shared" si="0"/>
        <v>-7.5297250322397646E-2</v>
      </c>
      <c r="H45" s="7">
        <f>0.5*R45</f>
        <v>1.1044026025479385</v>
      </c>
      <c r="J45" s="6">
        <v>48.77</v>
      </c>
      <c r="K45" s="6">
        <v>51.439999</v>
      </c>
      <c r="L45" s="6">
        <v>46.830463000000002</v>
      </c>
      <c r="M45" s="6">
        <f t="shared" si="13"/>
        <v>1.0325171105002204</v>
      </c>
      <c r="N45" s="6">
        <f t="shared" si="6"/>
        <v>0.83719436579786255</v>
      </c>
      <c r="O45" s="6">
        <f t="shared" si="1"/>
        <v>3.2517110500220436E-2</v>
      </c>
      <c r="P45" s="7">
        <f>0.5*R45</f>
        <v>1.1044026025479385</v>
      </c>
      <c r="R45" s="6">
        <f t="shared" si="2"/>
        <v>2.2088052050958771</v>
      </c>
      <c r="S45" s="6">
        <f t="shared" si="14"/>
        <v>-3.7191716221512405E-2</v>
      </c>
      <c r="U45" s="6">
        <f>F45/R45</f>
        <v>0.62097410678569875</v>
      </c>
      <c r="V45" s="6">
        <f>N45/R45</f>
        <v>0.37902589321430119</v>
      </c>
      <c r="W45" s="7">
        <v>0.5</v>
      </c>
      <c r="X45" s="7">
        <v>0.5</v>
      </c>
      <c r="Y45" s="6">
        <f t="shared" si="7"/>
        <v>-3.7191716221512516E-2</v>
      </c>
      <c r="Z45" s="6">
        <f t="shared" si="8"/>
        <v>1.1102230246251565E-16</v>
      </c>
      <c r="AB45" s="6">
        <f t="shared" si="9"/>
        <v>-7.8282944814123054E-2</v>
      </c>
      <c r="AC45" s="6">
        <f t="shared" si="10"/>
        <v>3.199961762878456E-2</v>
      </c>
      <c r="AD45" s="6">
        <f t="shared" si="11"/>
        <v>-3.7900969268845799E-2</v>
      </c>
    </row>
    <row r="46" spans="1:30" s="6" customFormat="1" x14ac:dyDescent="0.3">
      <c r="A46" s="5">
        <v>43892</v>
      </c>
      <c r="B46" s="6">
        <v>109.349998</v>
      </c>
      <c r="C46" s="6">
        <v>113.110001</v>
      </c>
      <c r="D46" s="6">
        <v>113.110001</v>
      </c>
      <c r="E46" s="6">
        <f t="shared" si="12"/>
        <v>1.0772381047619046</v>
      </c>
      <c r="F46" s="7">
        <f>H45*E46</f>
        <v>1.1897045664628563</v>
      </c>
      <c r="G46" s="6">
        <f t="shared" si="0"/>
        <v>7.7238104761904625E-2</v>
      </c>
      <c r="J46" s="6">
        <v>52.59</v>
      </c>
      <c r="K46" s="6">
        <v>53.880001</v>
      </c>
      <c r="L46" s="6">
        <v>49.051819000000002</v>
      </c>
      <c r="M46" s="6">
        <f t="shared" si="13"/>
        <v>1.0474339961148793</v>
      </c>
      <c r="N46" s="7">
        <f>P45*M46</f>
        <v>1.15678883130646</v>
      </c>
      <c r="O46" s="6">
        <f t="shared" si="1"/>
        <v>4.7433996114879307E-2</v>
      </c>
      <c r="R46" s="6">
        <f t="shared" si="2"/>
        <v>2.3464933977693163</v>
      </c>
      <c r="S46" s="6">
        <f t="shared" si="14"/>
        <v>6.2336050438391855E-2</v>
      </c>
      <c r="W46" s="6">
        <f t="shared" si="3"/>
        <v>0.50701381371617904</v>
      </c>
      <c r="X46" s="6">
        <f t="shared" si="4"/>
        <v>0.4929861862838209</v>
      </c>
      <c r="Y46" s="7">
        <f t="shared" si="7"/>
        <v>6.2336050438391966E-2</v>
      </c>
      <c r="Z46" s="6">
        <f t="shared" si="8"/>
        <v>1.1102230246251565E-16</v>
      </c>
      <c r="AB46" s="6">
        <f t="shared" si="9"/>
        <v>7.4400455226717441E-2</v>
      </c>
      <c r="AC46" s="6">
        <f t="shared" si="10"/>
        <v>4.6343359960037245E-2</v>
      </c>
      <c r="AD46" s="6">
        <f t="shared" si="11"/>
        <v>6.0470304440372179E-2</v>
      </c>
    </row>
    <row r="47" spans="1:30" x14ac:dyDescent="0.3">
      <c r="A47" s="1">
        <v>43893</v>
      </c>
      <c r="B47">
        <v>114.550003</v>
      </c>
      <c r="C47">
        <v>117.470001</v>
      </c>
      <c r="D47">
        <v>117.470001</v>
      </c>
      <c r="E47">
        <f t="shared" si="12"/>
        <v>1.0385465472677344</v>
      </c>
      <c r="F47">
        <f t="shared" si="5"/>
        <v>1.2355635697686562</v>
      </c>
      <c r="G47">
        <f t="shared" si="0"/>
        <v>3.8546547267734432E-2</v>
      </c>
      <c r="J47">
        <v>53.950001</v>
      </c>
      <c r="K47">
        <v>51.299999</v>
      </c>
      <c r="L47">
        <v>46.703010999999996</v>
      </c>
      <c r="M47">
        <f t="shared" si="13"/>
        <v>0.95211578188364421</v>
      </c>
      <c r="N47">
        <f t="shared" si="6"/>
        <v>1.1013969025936172</v>
      </c>
      <c r="O47">
        <f t="shared" si="1"/>
        <v>-4.7884218116355792E-2</v>
      </c>
      <c r="R47">
        <f t="shared" si="2"/>
        <v>2.3369604723622732</v>
      </c>
      <c r="S47">
        <f t="shared" si="14"/>
        <v>-4.0626261365599436E-3</v>
      </c>
      <c r="W47">
        <f t="shared" si="3"/>
        <v>0.52870537793893868</v>
      </c>
      <c r="X47">
        <f t="shared" si="4"/>
        <v>0.47129462206106149</v>
      </c>
      <c r="Y47">
        <f t="shared" si="7"/>
        <v>-4.0626261365598951E-3</v>
      </c>
      <c r="Z47">
        <f t="shared" si="8"/>
        <v>4.8572257327350599E-17</v>
      </c>
      <c r="AB47">
        <f t="shared" si="9"/>
        <v>3.7822184964365319E-2</v>
      </c>
      <c r="AC47">
        <f t="shared" si="10"/>
        <v>-4.9068631960162139E-2</v>
      </c>
      <c r="AD47">
        <f t="shared" si="11"/>
        <v>-4.0709010215694797E-3</v>
      </c>
    </row>
    <row r="48" spans="1:30" x14ac:dyDescent="0.3">
      <c r="A48" s="1">
        <v>43894</v>
      </c>
      <c r="B48">
        <v>118.510002</v>
      </c>
      <c r="C48">
        <v>116.800003</v>
      </c>
      <c r="D48">
        <v>116.800003</v>
      </c>
      <c r="E48">
        <f t="shared" si="12"/>
        <v>0.99429643318041694</v>
      </c>
      <c r="F48">
        <f t="shared" si="5"/>
        <v>1.2285164503886381</v>
      </c>
      <c r="G48">
        <f t="shared" si="0"/>
        <v>-5.7035668195830613E-3</v>
      </c>
      <c r="J48">
        <v>52.23</v>
      </c>
      <c r="K48">
        <v>52.419998</v>
      </c>
      <c r="L48">
        <v>47.722645</v>
      </c>
      <c r="M48">
        <f t="shared" si="13"/>
        <v>1.0218322968512674</v>
      </c>
      <c r="N48">
        <f t="shared" si="6"/>
        <v>1.1254429267221076</v>
      </c>
      <c r="O48">
        <f t="shared" si="1"/>
        <v>2.1832296851267419E-2</v>
      </c>
      <c r="R48">
        <f t="shared" si="2"/>
        <v>2.3539593771107459</v>
      </c>
      <c r="S48">
        <f t="shared" si="14"/>
        <v>7.2739376422954471E-3</v>
      </c>
      <c r="W48">
        <f t="shared" si="3"/>
        <v>0.52189364962471085</v>
      </c>
      <c r="X48">
        <f t="shared" si="4"/>
        <v>0.47810635037528909</v>
      </c>
      <c r="Y48">
        <f t="shared" si="7"/>
        <v>7.2739376422953283E-3</v>
      </c>
      <c r="Z48">
        <f t="shared" si="8"/>
        <v>1.1882855810441129E-16</v>
      </c>
      <c r="AB48">
        <f t="shared" si="9"/>
        <v>-5.7198942695484006E-3</v>
      </c>
      <c r="AC48">
        <f t="shared" si="10"/>
        <v>2.1597385216245754E-2</v>
      </c>
      <c r="AD48">
        <f t="shared" si="11"/>
        <v>7.2476101504829679E-3</v>
      </c>
    </row>
    <row r="49" spans="1:30" x14ac:dyDescent="0.3">
      <c r="A49" s="1">
        <v>43895</v>
      </c>
      <c r="B49">
        <v>110.25</v>
      </c>
      <c r="C49">
        <v>125</v>
      </c>
      <c r="D49">
        <v>125</v>
      </c>
      <c r="E49">
        <f t="shared" si="12"/>
        <v>1.070205451963901</v>
      </c>
      <c r="F49">
        <f t="shared" si="5"/>
        <v>1.3147650030332598</v>
      </c>
      <c r="G49">
        <f t="shared" si="0"/>
        <v>7.0205451963901044E-2</v>
      </c>
      <c r="J49">
        <v>50.419998</v>
      </c>
      <c r="K49">
        <v>50.110000999999997</v>
      </c>
      <c r="L49">
        <v>45.619647999999998</v>
      </c>
      <c r="M49">
        <f t="shared" si="13"/>
        <v>0.95593293288752113</v>
      </c>
      <c r="N49">
        <f t="shared" si="6"/>
        <v>1.0758479577389799</v>
      </c>
      <c r="O49">
        <f t="shared" si="1"/>
        <v>-4.4067067112478875E-2</v>
      </c>
      <c r="R49">
        <f t="shared" si="2"/>
        <v>2.3906129607722395</v>
      </c>
      <c r="S49">
        <f t="shared" si="14"/>
        <v>1.5571034920102367E-2</v>
      </c>
      <c r="W49">
        <f t="shared" si="3"/>
        <v>0.54996982974966868</v>
      </c>
      <c r="X49">
        <f t="shared" si="4"/>
        <v>0.45003017025033143</v>
      </c>
      <c r="Y49">
        <f t="shared" si="7"/>
        <v>1.5571034920102436E-2</v>
      </c>
      <c r="Z49">
        <f t="shared" si="8"/>
        <v>6.9388939039072284E-17</v>
      </c>
      <c r="AB49">
        <f t="shared" si="9"/>
        <v>6.7850641223243247E-2</v>
      </c>
      <c r="AC49">
        <f t="shared" si="10"/>
        <v>-4.5067522274980641E-2</v>
      </c>
      <c r="AD49">
        <f t="shared" si="11"/>
        <v>1.5451050276360009E-2</v>
      </c>
    </row>
    <row r="50" spans="1:30" x14ac:dyDescent="0.3">
      <c r="A50" s="1">
        <v>43896</v>
      </c>
      <c r="B50">
        <v>119.650002</v>
      </c>
      <c r="C50">
        <v>114.32</v>
      </c>
      <c r="D50">
        <v>114.32</v>
      </c>
      <c r="E50">
        <f t="shared" si="12"/>
        <v>0.91455999999999993</v>
      </c>
      <c r="F50">
        <f t="shared" si="5"/>
        <v>1.2024314811740979</v>
      </c>
      <c r="G50">
        <f t="shared" si="0"/>
        <v>-8.5440000000000071E-2</v>
      </c>
      <c r="J50">
        <v>48.84</v>
      </c>
      <c r="K50">
        <v>47.689999</v>
      </c>
      <c r="L50">
        <v>43.416499999999999</v>
      </c>
      <c r="M50">
        <f t="shared" si="13"/>
        <v>0.95170615959158655</v>
      </c>
      <c r="N50">
        <f t="shared" si="6"/>
        <v>1.023891128164216</v>
      </c>
      <c r="O50">
        <f t="shared" si="1"/>
        <v>-4.8293840408413446E-2</v>
      </c>
      <c r="R50">
        <f t="shared" si="2"/>
        <v>2.2263226093383137</v>
      </c>
      <c r="S50">
        <f t="shared" si="14"/>
        <v>-6.8723107474852441E-2</v>
      </c>
      <c r="W50">
        <f t="shared" si="3"/>
        <v>0.5400975923841842</v>
      </c>
      <c r="X50">
        <f t="shared" si="4"/>
        <v>0.45990240761581591</v>
      </c>
      <c r="Y50">
        <f t="shared" si="7"/>
        <v>-6.8723107474852371E-2</v>
      </c>
      <c r="Z50">
        <f t="shared" si="8"/>
        <v>6.9388939039072284E-17</v>
      </c>
      <c r="AB50">
        <f t="shared" si="9"/>
        <v>-8.9312203680689234E-2</v>
      </c>
      <c r="AC50">
        <f t="shared" si="10"/>
        <v>-4.9498947725995911E-2</v>
      </c>
      <c r="AD50">
        <f t="shared" si="11"/>
        <v>-7.1198631825972622E-2</v>
      </c>
    </row>
    <row r="51" spans="1:30" x14ac:dyDescent="0.3">
      <c r="A51" s="1">
        <v>43899</v>
      </c>
      <c r="B51">
        <v>105</v>
      </c>
      <c r="C51">
        <v>113.75</v>
      </c>
      <c r="D51">
        <v>113.75</v>
      </c>
      <c r="E51">
        <f t="shared" si="12"/>
        <v>0.99501399580125971</v>
      </c>
      <c r="F51">
        <f t="shared" si="5"/>
        <v>1.1964361527602663</v>
      </c>
      <c r="G51">
        <f t="shared" si="0"/>
        <v>-4.9860041987402903E-3</v>
      </c>
      <c r="J51">
        <v>41.709999000000003</v>
      </c>
      <c r="K51">
        <v>41.860000999999997</v>
      </c>
      <c r="L51">
        <v>38.108929000000003</v>
      </c>
      <c r="M51">
        <f t="shared" si="13"/>
        <v>0.87775221402001558</v>
      </c>
      <c r="N51">
        <f t="shared" si="6"/>
        <v>0.8987227046615921</v>
      </c>
      <c r="O51">
        <f t="shared" si="1"/>
        <v>-0.12224778597998442</v>
      </c>
      <c r="R51">
        <f t="shared" si="2"/>
        <v>2.0951588574218585</v>
      </c>
      <c r="S51">
        <f t="shared" si="14"/>
        <v>-5.8914979961254832E-2</v>
      </c>
      <c r="W51">
        <f t="shared" si="3"/>
        <v>0.57104794155442162</v>
      </c>
      <c r="X51">
        <f t="shared" si="4"/>
        <v>0.42895205844557832</v>
      </c>
      <c r="Y51">
        <f t="shared" si="7"/>
        <v>-5.8914979961254887E-2</v>
      </c>
      <c r="Z51">
        <f t="shared" si="8"/>
        <v>5.5511151231257827E-17</v>
      </c>
      <c r="AB51">
        <f t="shared" si="9"/>
        <v>-4.9984757905520818E-3</v>
      </c>
      <c r="AC51">
        <f t="shared" si="10"/>
        <v>-0.13039094155567088</v>
      </c>
      <c r="AD51">
        <f t="shared" si="11"/>
        <v>-6.0721792746209986E-2</v>
      </c>
    </row>
    <row r="52" spans="1:30" x14ac:dyDescent="0.3">
      <c r="A52" s="1">
        <v>43900</v>
      </c>
      <c r="B52">
        <v>113.800003</v>
      </c>
      <c r="C52">
        <v>108.489998</v>
      </c>
      <c r="D52">
        <v>108.489998</v>
      </c>
      <c r="E52">
        <f t="shared" si="12"/>
        <v>0.95375822417582412</v>
      </c>
      <c r="F52">
        <f t="shared" si="5"/>
        <v>1.1411108203963867</v>
      </c>
      <c r="G52">
        <f t="shared" si="0"/>
        <v>-4.6241775824175879E-2</v>
      </c>
      <c r="J52">
        <v>46.169998</v>
      </c>
      <c r="K52">
        <v>43.41</v>
      </c>
      <c r="L52">
        <v>39.520031000000003</v>
      </c>
      <c r="M52">
        <f t="shared" si="13"/>
        <v>1.0370281201027718</v>
      </c>
      <c r="N52">
        <f t="shared" si="6"/>
        <v>0.93200071690888942</v>
      </c>
      <c r="O52">
        <f t="shared" si="1"/>
        <v>3.7028120102771789E-2</v>
      </c>
      <c r="R52">
        <f t="shared" si="2"/>
        <v>2.0731115373052762</v>
      </c>
      <c r="S52">
        <f t="shared" si="14"/>
        <v>-1.0522982559762584E-2</v>
      </c>
      <c r="W52">
        <f t="shared" si="3"/>
        <v>0.55043387674145794</v>
      </c>
      <c r="X52">
        <f t="shared" si="4"/>
        <v>0.44956612325854206</v>
      </c>
      <c r="Y52">
        <f t="shared" si="7"/>
        <v>-1.0522982559762594E-2</v>
      </c>
      <c r="Z52">
        <f t="shared" si="8"/>
        <v>1.0408340855860843E-17</v>
      </c>
      <c r="AB52">
        <f t="shared" si="9"/>
        <v>-4.734507343157951E-2</v>
      </c>
      <c r="AC52">
        <f t="shared" si="10"/>
        <v>3.6359045661580568E-2</v>
      </c>
      <c r="AD52">
        <f t="shared" si="11"/>
        <v>-1.0578740646609316E-2</v>
      </c>
    </row>
    <row r="53" spans="1:30" x14ac:dyDescent="0.3">
      <c r="A53" s="1">
        <v>43901</v>
      </c>
      <c r="B53">
        <v>108.410004</v>
      </c>
      <c r="C53">
        <v>110.300003</v>
      </c>
      <c r="D53">
        <v>110.300003</v>
      </c>
      <c r="E53">
        <f t="shared" si="12"/>
        <v>1.0166836117003155</v>
      </c>
      <c r="F53">
        <f t="shared" si="5"/>
        <v>1.1601486702309085</v>
      </c>
      <c r="G53">
        <f t="shared" si="0"/>
        <v>1.6683611700315515E-2</v>
      </c>
      <c r="J53">
        <v>42.389999000000003</v>
      </c>
      <c r="K53">
        <v>41.98</v>
      </c>
      <c r="L53">
        <v>38.218178000000002</v>
      </c>
      <c r="M53">
        <f t="shared" si="13"/>
        <v>0.96705840134588961</v>
      </c>
      <c r="N53">
        <f t="shared" si="6"/>
        <v>0.90129912334713358</v>
      </c>
      <c r="O53">
        <f t="shared" si="1"/>
        <v>-3.2941598654110393E-2</v>
      </c>
      <c r="R53">
        <f t="shared" si="2"/>
        <v>2.0614477935780422</v>
      </c>
      <c r="S53">
        <f t="shared" si="14"/>
        <v>-5.6262017346133675E-3</v>
      </c>
      <c r="W53">
        <f t="shared" si="3"/>
        <v>0.56278343494561445</v>
      </c>
      <c r="X53">
        <f t="shared" si="4"/>
        <v>0.4372165650543855</v>
      </c>
      <c r="Y53">
        <f t="shared" si="7"/>
        <v>-5.6262017346134004E-3</v>
      </c>
      <c r="Z53">
        <f t="shared" si="8"/>
        <v>3.2959746043559335E-17</v>
      </c>
      <c r="AB53">
        <f t="shared" si="9"/>
        <v>1.6545969058525543E-2</v>
      </c>
      <c r="AC53">
        <f t="shared" si="10"/>
        <v>-3.3496390992746899E-2</v>
      </c>
      <c r="AD53">
        <f t="shared" si="11"/>
        <v>-5.6420884234253087E-3</v>
      </c>
    </row>
    <row r="54" spans="1:30" x14ac:dyDescent="0.3">
      <c r="A54" s="1">
        <v>43902</v>
      </c>
      <c r="B54">
        <v>106.25</v>
      </c>
      <c r="C54">
        <v>109.470001</v>
      </c>
      <c r="D54">
        <v>109.470001</v>
      </c>
      <c r="E54">
        <f t="shared" si="12"/>
        <v>0.99247505006867487</v>
      </c>
      <c r="F54">
        <f t="shared" si="5"/>
        <v>1.1514186095745276</v>
      </c>
      <c r="G54">
        <f t="shared" si="0"/>
        <v>-7.5249499313251311E-3</v>
      </c>
      <c r="J54">
        <v>39.900002000000001</v>
      </c>
      <c r="K54">
        <v>37.18</v>
      </c>
      <c r="L54">
        <v>33.848305000000003</v>
      </c>
      <c r="M54">
        <f t="shared" si="13"/>
        <v>0.88565982920483555</v>
      </c>
      <c r="N54">
        <f t="shared" si="6"/>
        <v>0.79824442764609038</v>
      </c>
      <c r="O54">
        <f t="shared" si="1"/>
        <v>-0.11434017079516445</v>
      </c>
      <c r="R54">
        <f t="shared" si="2"/>
        <v>1.9496630372206178</v>
      </c>
      <c r="S54">
        <f t="shared" si="14"/>
        <v>-5.4226333892938516E-2</v>
      </c>
      <c r="W54">
        <f t="shared" si="3"/>
        <v>0.59057313371235476</v>
      </c>
      <c r="X54">
        <f t="shared" si="4"/>
        <v>0.40942686628764535</v>
      </c>
      <c r="Y54">
        <f t="shared" si="7"/>
        <v>-5.4226333892938489E-2</v>
      </c>
      <c r="Z54">
        <f t="shared" si="8"/>
        <v>2.7755575615628914E-17</v>
      </c>
      <c r="AB54">
        <f t="shared" si="9"/>
        <v>-7.5534052066172008E-3</v>
      </c>
      <c r="AC54">
        <f t="shared" si="10"/>
        <v>-0.12142234205026498</v>
      </c>
      <c r="AD54">
        <f t="shared" si="11"/>
        <v>-5.5751992142579858E-2</v>
      </c>
    </row>
    <row r="55" spans="1:30" x14ac:dyDescent="0.3">
      <c r="A55" s="1">
        <v>43903</v>
      </c>
      <c r="B55">
        <v>113</v>
      </c>
      <c r="C55">
        <v>107.470001</v>
      </c>
      <c r="D55">
        <v>107.470001</v>
      </c>
      <c r="E55">
        <f t="shared" si="12"/>
        <v>0.98173015454708912</v>
      </c>
      <c r="F55">
        <f t="shared" si="5"/>
        <v>1.1303823695259954</v>
      </c>
      <c r="G55">
        <f t="shared" si="0"/>
        <v>-1.8269845452910882E-2</v>
      </c>
      <c r="J55">
        <v>40.009998000000003</v>
      </c>
      <c r="K55">
        <v>38.119999</v>
      </c>
      <c r="L55">
        <v>34.704062999999998</v>
      </c>
      <c r="M55">
        <f t="shared" si="13"/>
        <v>1.025282152237756</v>
      </c>
      <c r="N55">
        <f t="shared" si="6"/>
        <v>0.81842576478877926</v>
      </c>
      <c r="O55">
        <f t="shared" si="1"/>
        <v>2.5282152237755984E-2</v>
      </c>
      <c r="R55">
        <f t="shared" si="2"/>
        <v>1.9488081343147745</v>
      </c>
      <c r="S55">
        <f t="shared" si="14"/>
        <v>-4.3848751785435791E-4</v>
      </c>
      <c r="W55">
        <f t="shared" si="3"/>
        <v>0.58003779316297444</v>
      </c>
      <c r="X55">
        <f t="shared" si="4"/>
        <v>0.41996220683702556</v>
      </c>
      <c r="Y55">
        <f t="shared" si="7"/>
        <v>-4.384875178543822E-4</v>
      </c>
      <c r="Z55">
        <f t="shared" si="8"/>
        <v>2.4286128663675299E-17</v>
      </c>
      <c r="AB55">
        <f t="shared" si="9"/>
        <v>-1.8438800093404553E-2</v>
      </c>
      <c r="AC55">
        <f t="shared" si="10"/>
        <v>2.4967845186264888E-2</v>
      </c>
      <c r="AD55">
        <f t="shared" si="11"/>
        <v>-4.3858368161811578E-4</v>
      </c>
    </row>
    <row r="56" spans="1:30" x14ac:dyDescent="0.3">
      <c r="A56" s="1">
        <v>43906</v>
      </c>
      <c r="B56">
        <v>105</v>
      </c>
      <c r="C56">
        <v>107.860001</v>
      </c>
      <c r="D56">
        <v>107.860001</v>
      </c>
      <c r="E56">
        <f t="shared" si="12"/>
        <v>1.0036289196647536</v>
      </c>
      <c r="F56">
        <f t="shared" si="5"/>
        <v>1.1344844363354591</v>
      </c>
      <c r="G56">
        <f t="shared" si="0"/>
        <v>3.6289196647536492E-3</v>
      </c>
      <c r="J56">
        <v>34.400002000000001</v>
      </c>
      <c r="K56">
        <v>34.490001999999997</v>
      </c>
      <c r="L56">
        <v>31.399355</v>
      </c>
      <c r="M56">
        <f t="shared" si="13"/>
        <v>0.90477460809127741</v>
      </c>
      <c r="N56">
        <f t="shared" si="6"/>
        <v>0.74049085058857178</v>
      </c>
      <c r="O56">
        <f t="shared" si="1"/>
        <v>-9.522539190872259E-2</v>
      </c>
      <c r="R56">
        <f t="shared" si="2"/>
        <v>1.8749752869240308</v>
      </c>
      <c r="S56">
        <f t="shared" si="14"/>
        <v>-3.7886155178998293E-2</v>
      </c>
      <c r="W56">
        <f t="shared" si="3"/>
        <v>0.60506634100581913</v>
      </c>
      <c r="X56">
        <f t="shared" si="4"/>
        <v>0.39493365899418098</v>
      </c>
      <c r="Y56">
        <f t="shared" si="7"/>
        <v>-3.7886155178998349E-2</v>
      </c>
      <c r="Z56">
        <f t="shared" si="8"/>
        <v>5.5511151231257827E-17</v>
      </c>
      <c r="AB56">
        <f t="shared" si="9"/>
        <v>3.6223510223742654E-3</v>
      </c>
      <c r="AC56">
        <f t="shared" si="10"/>
        <v>-0.10006941813361155</v>
      </c>
      <c r="AD56">
        <f t="shared" si="11"/>
        <v>-3.8622493508497044E-2</v>
      </c>
    </row>
    <row r="57" spans="1:30" x14ac:dyDescent="0.3">
      <c r="A57" s="1">
        <v>43907</v>
      </c>
      <c r="B57">
        <v>107.33000199999999</v>
      </c>
      <c r="C57">
        <v>111.099998</v>
      </c>
      <c r="D57">
        <v>111.099998</v>
      </c>
      <c r="E57">
        <f t="shared" si="12"/>
        <v>1.0300389112735129</v>
      </c>
      <c r="F57">
        <f t="shared" si="5"/>
        <v>1.1685631136597212</v>
      </c>
      <c r="G57">
        <f t="shared" si="0"/>
        <v>3.003891127351288E-2</v>
      </c>
      <c r="J57">
        <v>35.209999000000003</v>
      </c>
      <c r="K57">
        <v>36.810001</v>
      </c>
      <c r="L57">
        <v>33.511456000000003</v>
      </c>
      <c r="M57">
        <f t="shared" si="13"/>
        <v>1.0672657447899807</v>
      </c>
      <c r="N57">
        <f t="shared" si="6"/>
        <v>0.79030051916357835</v>
      </c>
      <c r="O57">
        <f t="shared" si="1"/>
        <v>6.7265744789980708E-2</v>
      </c>
      <c r="R57">
        <f t="shared" si="2"/>
        <v>1.9588636328232996</v>
      </c>
      <c r="S57">
        <f t="shared" si="14"/>
        <v>4.474104084693864E-2</v>
      </c>
      <c r="W57">
        <f t="shared" si="3"/>
        <v>0.59655153839140784</v>
      </c>
      <c r="X57">
        <f t="shared" si="4"/>
        <v>0.40344846160859216</v>
      </c>
      <c r="Y57">
        <f t="shared" si="7"/>
        <v>4.4741040846938737E-2</v>
      </c>
      <c r="Z57">
        <f t="shared" si="8"/>
        <v>9.7144514654701197E-17</v>
      </c>
      <c r="AB57">
        <f t="shared" si="9"/>
        <v>2.959657946342557E-2</v>
      </c>
      <c r="AC57">
        <f t="shared" si="10"/>
        <v>6.5099999219853794E-2</v>
      </c>
      <c r="AD57">
        <f t="shared" si="11"/>
        <v>4.3769046905374913E-2</v>
      </c>
    </row>
    <row r="58" spans="1:30" x14ac:dyDescent="0.3">
      <c r="A58" s="1">
        <v>43908</v>
      </c>
      <c r="B58">
        <v>111</v>
      </c>
      <c r="C58">
        <v>118.709999</v>
      </c>
      <c r="D58">
        <v>118.709999</v>
      </c>
      <c r="E58">
        <f t="shared" si="12"/>
        <v>1.0684968599189353</v>
      </c>
      <c r="F58">
        <f t="shared" si="5"/>
        <v>1.248606017562506</v>
      </c>
      <c r="G58">
        <f t="shared" si="0"/>
        <v>6.8496859918935282E-2</v>
      </c>
      <c r="J58">
        <v>34.549999</v>
      </c>
      <c r="K58">
        <v>33.119999</v>
      </c>
      <c r="L58">
        <v>30.152117000000001</v>
      </c>
      <c r="M58">
        <f t="shared" si="13"/>
        <v>0.89975550450568298</v>
      </c>
      <c r="N58">
        <f t="shared" si="6"/>
        <v>0.71107724233112857</v>
      </c>
      <c r="O58">
        <f t="shared" si="1"/>
        <v>-0.10024449549431702</v>
      </c>
      <c r="R58">
        <f t="shared" si="2"/>
        <v>1.9596832598936347</v>
      </c>
      <c r="S58">
        <f t="shared" si="14"/>
        <v>4.184196677099461E-4</v>
      </c>
      <c r="W58">
        <f t="shared" si="3"/>
        <v>0.63714685077744471</v>
      </c>
      <c r="X58">
        <f t="shared" si="4"/>
        <v>0.36285314922255524</v>
      </c>
      <c r="Y58">
        <f t="shared" si="7"/>
        <v>4.1841966770995304E-4</v>
      </c>
      <c r="Z58">
        <f t="shared" si="8"/>
        <v>6.9388939039072284E-18</v>
      </c>
      <c r="AB58">
        <f t="shared" si="9"/>
        <v>6.6252856997768367E-2</v>
      </c>
      <c r="AC58">
        <f t="shared" si="10"/>
        <v>-0.10563221422489165</v>
      </c>
      <c r="AD58">
        <f t="shared" si="11"/>
        <v>4.1833215461139958E-4</v>
      </c>
    </row>
    <row r="59" spans="1:30" x14ac:dyDescent="0.3">
      <c r="A59" s="1">
        <v>43909</v>
      </c>
      <c r="B59">
        <v>122.949997</v>
      </c>
      <c r="C59">
        <v>123.769997</v>
      </c>
      <c r="D59">
        <v>123.769997</v>
      </c>
      <c r="E59">
        <f t="shared" si="12"/>
        <v>1.0426248676827974</v>
      </c>
      <c r="F59">
        <f t="shared" si="5"/>
        <v>1.3018276838490523</v>
      </c>
      <c r="G59">
        <f t="shared" si="0"/>
        <v>4.2624867682797385E-2</v>
      </c>
      <c r="J59">
        <v>33.729999999999997</v>
      </c>
      <c r="K59">
        <v>34.43</v>
      </c>
      <c r="L59">
        <v>31.344726999999999</v>
      </c>
      <c r="M59">
        <f t="shared" si="13"/>
        <v>1.0395531099856106</v>
      </c>
      <c r="N59">
        <f t="shared" si="6"/>
        <v>0.73920255870531637</v>
      </c>
      <c r="O59">
        <f t="shared" si="1"/>
        <v>3.9553109985610568E-2</v>
      </c>
      <c r="R59">
        <f t="shared" si="2"/>
        <v>2.0410302425543687</v>
      </c>
      <c r="S59">
        <f t="shared" si="14"/>
        <v>4.1510270728724485E-2</v>
      </c>
      <c r="W59">
        <f t="shared" si="3"/>
        <v>0.63782870861325536</v>
      </c>
      <c r="X59">
        <f t="shared" si="4"/>
        <v>0.36217129138674464</v>
      </c>
      <c r="Y59">
        <f t="shared" si="7"/>
        <v>4.151027072872452E-2</v>
      </c>
      <c r="Z59">
        <f t="shared" si="8"/>
        <v>3.4694469519536142E-17</v>
      </c>
      <c r="AB59">
        <f t="shared" si="9"/>
        <v>4.1741444671871408E-2</v>
      </c>
      <c r="AC59">
        <f t="shared" si="10"/>
        <v>3.8790918868035304E-2</v>
      </c>
      <c r="AD59">
        <f t="shared" si="11"/>
        <v>4.0671843147677474E-2</v>
      </c>
    </row>
    <row r="60" spans="1:30" x14ac:dyDescent="0.3">
      <c r="A60" s="1">
        <v>43910</v>
      </c>
      <c r="B60">
        <v>129</v>
      </c>
      <c r="C60">
        <v>130.550003</v>
      </c>
      <c r="D60">
        <v>130.550003</v>
      </c>
      <c r="E60">
        <f t="shared" si="12"/>
        <v>1.0547790754167992</v>
      </c>
      <c r="F60">
        <f t="shared" si="5"/>
        <v>1.3731406007222966</v>
      </c>
      <c r="G60">
        <f t="shared" si="0"/>
        <v>5.4779075416799161E-2</v>
      </c>
      <c r="J60">
        <v>34.840000000000003</v>
      </c>
      <c r="K60">
        <v>32.740001999999997</v>
      </c>
      <c r="L60">
        <v>29.806170000000002</v>
      </c>
      <c r="M60">
        <f t="shared" si="13"/>
        <v>0.95091496569742029</v>
      </c>
      <c r="N60">
        <f t="shared" si="6"/>
        <v>0.70291877575471118</v>
      </c>
      <c r="O60">
        <f t="shared" si="1"/>
        <v>-4.9085034302579711E-2</v>
      </c>
      <c r="R60">
        <f t="shared" si="2"/>
        <v>2.0760593764770077</v>
      </c>
      <c r="S60">
        <f t="shared" si="14"/>
        <v>1.7162476670997018E-2</v>
      </c>
      <c r="W60">
        <f t="shared" si="3"/>
        <v>0.66141682472129626</v>
      </c>
      <c r="X60">
        <f t="shared" si="4"/>
        <v>0.3385831752787038</v>
      </c>
      <c r="Y60">
        <f t="shared" si="7"/>
        <v>1.7162476670997184E-2</v>
      </c>
      <c r="Z60">
        <f t="shared" si="8"/>
        <v>1.6653345369377348E-16</v>
      </c>
      <c r="AB60">
        <f t="shared" si="9"/>
        <v>5.333133781141515E-2</v>
      </c>
      <c r="AC60">
        <f t="shared" si="10"/>
        <v>-5.033063610499694E-2</v>
      </c>
      <c r="AD60">
        <f t="shared" si="11"/>
        <v>1.7016865044478659E-2</v>
      </c>
    </row>
    <row r="61" spans="1:30" x14ac:dyDescent="0.3">
      <c r="A61" s="1">
        <v>43913</v>
      </c>
      <c r="B61">
        <v>141.996994</v>
      </c>
      <c r="C61">
        <v>159.55999800000001</v>
      </c>
      <c r="D61">
        <v>159.55999800000001</v>
      </c>
      <c r="E61">
        <f t="shared" si="12"/>
        <v>1.2222136678158484</v>
      </c>
      <c r="F61">
        <f t="shared" si="5"/>
        <v>1.6782712100356556</v>
      </c>
      <c r="G61">
        <f t="shared" si="0"/>
        <v>0.22221366781584839</v>
      </c>
      <c r="J61">
        <v>32.529998999999997</v>
      </c>
      <c r="K61">
        <v>31.450001</v>
      </c>
      <c r="L61">
        <v>28.631767</v>
      </c>
      <c r="M61">
        <f t="shared" si="13"/>
        <v>0.96059866128388849</v>
      </c>
      <c r="N61">
        <f t="shared" si="6"/>
        <v>0.67522283498128532</v>
      </c>
      <c r="O61">
        <f t="shared" si="1"/>
        <v>-3.9401338716111511E-2</v>
      </c>
      <c r="R61">
        <f t="shared" si="2"/>
        <v>2.3534940450169408</v>
      </c>
      <c r="S61">
        <f t="shared" si="14"/>
        <v>0.13363522820369855</v>
      </c>
      <c r="W61">
        <f t="shared" si="3"/>
        <v>0.71309770831545705</v>
      </c>
      <c r="X61">
        <f t="shared" si="4"/>
        <v>0.28690229168454301</v>
      </c>
      <c r="Y61">
        <f t="shared" si="7"/>
        <v>0.13363522820369858</v>
      </c>
      <c r="Z61">
        <f t="shared" si="8"/>
        <v>2.7755575615628914E-17</v>
      </c>
      <c r="AB61">
        <f t="shared" si="9"/>
        <v>0.20066369637789722</v>
      </c>
      <c r="AC61">
        <f t="shared" si="10"/>
        <v>-4.0198583377318055E-2</v>
      </c>
      <c r="AD61">
        <f t="shared" si="11"/>
        <v>0.12542948530852477</v>
      </c>
    </row>
    <row r="62" spans="1:30" x14ac:dyDescent="0.3">
      <c r="A62" s="1">
        <v>43914</v>
      </c>
      <c r="B62">
        <v>154</v>
      </c>
      <c r="C62">
        <v>135.179993</v>
      </c>
      <c r="D62">
        <v>135.179993</v>
      </c>
      <c r="E62">
        <f t="shared" si="12"/>
        <v>0.84720477998501853</v>
      </c>
      <c r="F62">
        <f t="shared" si="5"/>
        <v>1.4218393912534484</v>
      </c>
      <c r="G62">
        <f t="shared" si="0"/>
        <v>-0.15279522001498147</v>
      </c>
      <c r="J62">
        <v>34.419998</v>
      </c>
      <c r="K62">
        <v>35.439999</v>
      </c>
      <c r="L62">
        <v>32.264225000000003</v>
      </c>
      <c r="M62">
        <f t="shared" si="13"/>
        <v>1.1268681042284259</v>
      </c>
      <c r="N62">
        <f t="shared" si="6"/>
        <v>0.76088707598710426</v>
      </c>
      <c r="O62">
        <f t="shared" si="1"/>
        <v>0.12686810422842587</v>
      </c>
      <c r="R62">
        <f t="shared" si="2"/>
        <v>2.1827264672405526</v>
      </c>
      <c r="S62">
        <f t="shared" si="14"/>
        <v>-7.2559171389430466E-2</v>
      </c>
      <c r="W62">
        <f t="shared" si="3"/>
        <v>0.65140520930731494</v>
      </c>
      <c r="X62">
        <f t="shared" si="4"/>
        <v>0.34859479069268501</v>
      </c>
      <c r="Y62">
        <f t="shared" si="7"/>
        <v>-7.2559171389430493E-2</v>
      </c>
      <c r="Z62">
        <f t="shared" si="8"/>
        <v>2.7755575615628914E-17</v>
      </c>
      <c r="AB62">
        <f t="shared" si="9"/>
        <v>-0.1658128426133374</v>
      </c>
      <c r="AC62">
        <f t="shared" si="10"/>
        <v>0.11944219558094828</v>
      </c>
      <c r="AD62">
        <f t="shared" si="11"/>
        <v>-7.5326283181925663E-2</v>
      </c>
    </row>
    <row r="63" spans="1:30" x14ac:dyDescent="0.3">
      <c r="A63" s="1">
        <v>43915</v>
      </c>
      <c r="B63">
        <v>140.104996</v>
      </c>
      <c r="C63">
        <v>138.11000100000001</v>
      </c>
      <c r="D63">
        <v>138.11000100000001</v>
      </c>
      <c r="E63">
        <f t="shared" si="12"/>
        <v>1.0216748642678211</v>
      </c>
      <c r="F63">
        <f t="shared" si="5"/>
        <v>1.4526575670695081</v>
      </c>
      <c r="G63">
        <f t="shared" si="0"/>
        <v>2.1674864267821059E-2</v>
      </c>
      <c r="J63">
        <v>36.509998000000003</v>
      </c>
      <c r="K63">
        <v>37.290000999999997</v>
      </c>
      <c r="L63">
        <v>33.948444000000002</v>
      </c>
      <c r="M63">
        <f t="shared" si="13"/>
        <v>1.0522008199484103</v>
      </c>
      <c r="N63">
        <f t="shared" si="6"/>
        <v>0.80060600524177949</v>
      </c>
      <c r="O63">
        <f t="shared" si="1"/>
        <v>5.2200819948410304E-2</v>
      </c>
      <c r="R63">
        <f t="shared" si="2"/>
        <v>2.2532635723112877</v>
      </c>
      <c r="S63">
        <f t="shared" si="14"/>
        <v>3.2316053398990352E-2</v>
      </c>
      <c r="W63">
        <f t="shared" si="3"/>
        <v>0.64469047692429648</v>
      </c>
      <c r="X63">
        <f t="shared" si="4"/>
        <v>0.35530952307570346</v>
      </c>
      <c r="Y63">
        <f t="shared" si="7"/>
        <v>3.2316053398990241E-2</v>
      </c>
      <c r="Z63">
        <f t="shared" si="8"/>
        <v>1.1102230246251565E-16</v>
      </c>
      <c r="AB63">
        <f t="shared" si="9"/>
        <v>2.1443304441043958E-2</v>
      </c>
      <c r="AC63">
        <f t="shared" si="10"/>
        <v>5.0883989584756859E-2</v>
      </c>
      <c r="AD63">
        <f t="shared" si="11"/>
        <v>3.1804873466998784E-2</v>
      </c>
    </row>
    <row r="64" spans="1:30" x14ac:dyDescent="0.3">
      <c r="A64" s="1">
        <v>43916</v>
      </c>
      <c r="B64">
        <v>140.509995</v>
      </c>
      <c r="C64">
        <v>141.14999399999999</v>
      </c>
      <c r="D64">
        <v>141.14999399999999</v>
      </c>
      <c r="E64">
        <f t="shared" si="12"/>
        <v>1.022011389312784</v>
      </c>
      <c r="F64">
        <f t="shared" si="5"/>
        <v>1.4846325783164367</v>
      </c>
      <c r="G64">
        <f t="shared" si="0"/>
        <v>2.2011389312784013E-2</v>
      </c>
      <c r="J64">
        <v>37.5</v>
      </c>
      <c r="K64">
        <v>38.82</v>
      </c>
      <c r="L64">
        <v>35.341343000000002</v>
      </c>
      <c r="M64">
        <f t="shared" si="13"/>
        <v>1.0410298333555434</v>
      </c>
      <c r="N64">
        <f t="shared" si="6"/>
        <v>0.83345473622029709</v>
      </c>
      <c r="O64">
        <f t="shared" si="1"/>
        <v>4.1029833355543444E-2</v>
      </c>
      <c r="R64">
        <f t="shared" si="2"/>
        <v>2.3180873145367338</v>
      </c>
      <c r="S64">
        <f t="shared" si="14"/>
        <v>2.8768823595258786E-2</v>
      </c>
      <c r="W64">
        <f t="shared" si="3"/>
        <v>0.64045584866726135</v>
      </c>
      <c r="X64">
        <f t="shared" si="4"/>
        <v>0.35954415133273865</v>
      </c>
      <c r="Y64">
        <f t="shared" si="7"/>
        <v>2.876882359525882E-2</v>
      </c>
      <c r="Z64">
        <f t="shared" si="8"/>
        <v>3.4694469519536142E-17</v>
      </c>
      <c r="AB64">
        <f t="shared" si="9"/>
        <v>2.1772635861084539E-2</v>
      </c>
      <c r="AC64">
        <f t="shared" si="10"/>
        <v>4.021044758486262E-2</v>
      </c>
      <c r="AD64">
        <f t="shared" si="11"/>
        <v>2.8362770382700846E-2</v>
      </c>
    </row>
    <row r="65" spans="1:30" x14ac:dyDescent="0.3">
      <c r="A65" s="1">
        <v>43917</v>
      </c>
      <c r="B65">
        <v>145.699997</v>
      </c>
      <c r="C65">
        <v>151.699997</v>
      </c>
      <c r="D65">
        <v>151.699997</v>
      </c>
      <c r="E65">
        <f t="shared" si="12"/>
        <v>1.0747432054442738</v>
      </c>
      <c r="F65">
        <f t="shared" si="5"/>
        <v>1.595598776126804</v>
      </c>
      <c r="G65">
        <f t="shared" si="0"/>
        <v>7.4743205444273819E-2</v>
      </c>
      <c r="J65">
        <v>37.130001</v>
      </c>
      <c r="K65">
        <v>36.950001</v>
      </c>
      <c r="L65">
        <v>33.638911999999998</v>
      </c>
      <c r="M65">
        <f t="shared" si="13"/>
        <v>0.95182891040671536</v>
      </c>
      <c r="N65">
        <f t="shared" si="6"/>
        <v>0.79330631344988178</v>
      </c>
      <c r="O65">
        <f t="shared" si="1"/>
        <v>-4.8171089593284644E-2</v>
      </c>
      <c r="R65">
        <f t="shared" si="2"/>
        <v>2.3889050895766859</v>
      </c>
      <c r="S65">
        <f t="shared" si="14"/>
        <v>3.0550089548333048E-2</v>
      </c>
      <c r="W65">
        <f t="shared" si="3"/>
        <v>0.66792053945079255</v>
      </c>
      <c r="X65">
        <f t="shared" si="4"/>
        <v>0.33207946054920739</v>
      </c>
      <c r="Y65">
        <f t="shared" si="7"/>
        <v>3.055008954833301E-2</v>
      </c>
      <c r="Z65">
        <f t="shared" si="8"/>
        <v>3.8163916471489756E-17</v>
      </c>
      <c r="AB65">
        <f t="shared" si="9"/>
        <v>7.2081754387085861E-2</v>
      </c>
      <c r="AC65">
        <f t="shared" si="10"/>
        <v>-4.9369976300952439E-2</v>
      </c>
      <c r="AD65">
        <f t="shared" si="11"/>
        <v>3.0092727200895165E-2</v>
      </c>
    </row>
    <row r="66" spans="1:30" x14ac:dyDescent="0.3">
      <c r="A66" s="1">
        <v>43920</v>
      </c>
      <c r="B66">
        <v>160.759995</v>
      </c>
      <c r="C66">
        <v>150.88000500000001</v>
      </c>
      <c r="D66">
        <v>150.88000500000001</v>
      </c>
      <c r="E66">
        <f t="shared" si="12"/>
        <v>0.99459464722336166</v>
      </c>
      <c r="F66">
        <f t="shared" si="5"/>
        <v>1.5869740018518663</v>
      </c>
      <c r="G66">
        <f t="shared" si="0"/>
        <v>-5.4053527766383391E-3</v>
      </c>
      <c r="J66">
        <v>36.229999999999997</v>
      </c>
      <c r="K66">
        <v>37.5</v>
      </c>
      <c r="L66">
        <v>34.139626</v>
      </c>
      <c r="M66">
        <f t="shared" si="13"/>
        <v>1.0148849641748223</v>
      </c>
      <c r="N66">
        <f t="shared" si="6"/>
        <v>0.8051146495052437</v>
      </c>
      <c r="O66">
        <f t="shared" si="1"/>
        <v>1.4884964174822324E-2</v>
      </c>
      <c r="R66">
        <f t="shared" si="2"/>
        <v>2.3920886513571098</v>
      </c>
      <c r="S66">
        <f t="shared" si="14"/>
        <v>1.3326447309751632E-3</v>
      </c>
      <c r="W66">
        <f t="shared" si="3"/>
        <v>0.66342608203568221</v>
      </c>
      <c r="X66">
        <f t="shared" si="4"/>
        <v>0.3365739179643179</v>
      </c>
      <c r="Y66">
        <f t="shared" si="7"/>
        <v>1.3326447309751567E-3</v>
      </c>
      <c r="Z66">
        <f t="shared" si="8"/>
        <v>6.5052130349130266E-18</v>
      </c>
      <c r="AB66">
        <f t="shared" si="9"/>
        <v>-5.4200145545476256E-3</v>
      </c>
      <c r="AC66">
        <f t="shared" si="10"/>
        <v>1.4775270282412496E-2</v>
      </c>
      <c r="AD66">
        <f t="shared" si="11"/>
        <v>1.3317575480979195E-3</v>
      </c>
    </row>
    <row r="67" spans="1:30" s="6" customFormat="1" x14ac:dyDescent="0.3">
      <c r="A67" s="5">
        <v>43921</v>
      </c>
      <c r="B67" s="6">
        <v>147.020004</v>
      </c>
      <c r="C67" s="6">
        <v>146.11999499999999</v>
      </c>
      <c r="D67" s="6">
        <v>146.11999499999999</v>
      </c>
      <c r="E67" s="6">
        <f t="shared" si="12"/>
        <v>0.96845168450252883</v>
      </c>
      <c r="F67" s="6">
        <f t="shared" si="5"/>
        <v>1.5369076453551593</v>
      </c>
      <c r="G67" s="6">
        <f t="shared" si="0"/>
        <v>-3.1548315497471169E-2</v>
      </c>
      <c r="H67" s="7">
        <f>0.5*R67</f>
        <v>1.1760565760478561</v>
      </c>
      <c r="J67" s="6">
        <v>38.340000000000003</v>
      </c>
      <c r="K67" s="6">
        <v>37.970001000000003</v>
      </c>
      <c r="L67" s="6">
        <v>34.567512999999998</v>
      </c>
      <c r="M67" s="6">
        <f t="shared" si="13"/>
        <v>1.0125334413446707</v>
      </c>
      <c r="N67" s="6">
        <f t="shared" si="6"/>
        <v>0.81520550674055281</v>
      </c>
      <c r="O67" s="6">
        <f t="shared" si="1"/>
        <v>1.2533441344670715E-2</v>
      </c>
      <c r="P67" s="7">
        <f>0.5*R67</f>
        <v>1.1760565760478561</v>
      </c>
      <c r="R67" s="6">
        <f t="shared" si="2"/>
        <v>2.3521131520957121</v>
      </c>
      <c r="S67" s="6">
        <f t="shared" si="14"/>
        <v>-1.6711545886360923E-2</v>
      </c>
      <c r="U67" s="6">
        <f>F67/R67</f>
        <v>0.65341569302726277</v>
      </c>
      <c r="V67" s="6">
        <f>N67/R67</f>
        <v>0.34658430697273718</v>
      </c>
      <c r="W67" s="7">
        <v>0.5</v>
      </c>
      <c r="X67" s="7">
        <v>0.5</v>
      </c>
      <c r="Y67" s="6">
        <f t="shared" si="7"/>
        <v>-1.67115458863611E-2</v>
      </c>
      <c r="Z67" s="6">
        <f t="shared" si="8"/>
        <v>1.7694179454963432E-16</v>
      </c>
      <c r="AB67" s="6">
        <f t="shared" si="9"/>
        <v>-3.2056684315434771E-2</v>
      </c>
      <c r="AC67" s="6">
        <f t="shared" si="10"/>
        <v>1.2455547941692303E-2</v>
      </c>
      <c r="AD67" s="6">
        <f t="shared" si="11"/>
        <v>-1.6852759242347286E-2</v>
      </c>
    </row>
    <row r="68" spans="1:30" s="6" customFormat="1" x14ac:dyDescent="0.3">
      <c r="A68" s="5">
        <v>43922</v>
      </c>
      <c r="B68" s="6">
        <v>144.5</v>
      </c>
      <c r="C68" s="6">
        <v>137</v>
      </c>
      <c r="D68" s="6">
        <v>137</v>
      </c>
      <c r="E68" s="6">
        <f t="shared" si="12"/>
        <v>0.9375855782091973</v>
      </c>
      <c r="F68" s="7">
        <f>H67*E68</f>
        <v>1.1026536848605579</v>
      </c>
      <c r="G68" s="6">
        <f t="shared" si="0"/>
        <v>-6.2414421790802699E-2</v>
      </c>
      <c r="J68" s="6">
        <v>36.860000999999997</v>
      </c>
      <c r="K68" s="6">
        <v>37.529998999999997</v>
      </c>
      <c r="L68" s="6">
        <v>34.166935000000002</v>
      </c>
      <c r="M68" s="6">
        <f t="shared" si="13"/>
        <v>0.98841172056549176</v>
      </c>
      <c r="N68" s="7">
        <f>P67*M68</f>
        <v>1.1624281038138224</v>
      </c>
      <c r="O68" s="6">
        <f t="shared" si="1"/>
        <v>-1.1588279434508242E-2</v>
      </c>
      <c r="R68" s="6">
        <f t="shared" si="2"/>
        <v>2.2650817886743804</v>
      </c>
      <c r="S68" s="6">
        <f t="shared" si="14"/>
        <v>-3.7001350612655526E-2</v>
      </c>
      <c r="W68" s="6">
        <f t="shared" si="3"/>
        <v>0.48680524048797219</v>
      </c>
      <c r="X68" s="6">
        <f t="shared" si="4"/>
        <v>0.51319475951202786</v>
      </c>
      <c r="Y68" s="7">
        <f t="shared" si="7"/>
        <v>-3.700135061265547E-2</v>
      </c>
      <c r="Z68" s="6">
        <f t="shared" si="8"/>
        <v>5.5511151231257827E-17</v>
      </c>
      <c r="AB68" s="6">
        <f t="shared" si="9"/>
        <v>-6.4447241880505532E-2</v>
      </c>
      <c r="AC68" s="6">
        <f t="shared" si="10"/>
        <v>-1.1655946818308944E-2</v>
      </c>
      <c r="AD68" s="6">
        <f t="shared" si="11"/>
        <v>-3.7703269690348616E-2</v>
      </c>
    </row>
    <row r="69" spans="1:30" x14ac:dyDescent="0.3">
      <c r="A69" s="1">
        <v>43923</v>
      </c>
      <c r="B69">
        <v>125.300003</v>
      </c>
      <c r="C69">
        <v>121.93</v>
      </c>
      <c r="D69">
        <v>121.93</v>
      </c>
      <c r="E69">
        <f t="shared" si="12"/>
        <v>0.89</v>
      </c>
      <c r="F69">
        <f t="shared" si="5"/>
        <v>0.98136177952589654</v>
      </c>
      <c r="G69">
        <f t="shared" si="0"/>
        <v>-0.10999999999999999</v>
      </c>
      <c r="J69">
        <v>38.740001999999997</v>
      </c>
      <c r="K69">
        <v>40.400002000000001</v>
      </c>
      <c r="L69">
        <v>36.779761999999998</v>
      </c>
      <c r="M69">
        <f t="shared" si="13"/>
        <v>1.0764723847778561</v>
      </c>
      <c r="N69">
        <f t="shared" si="6"/>
        <v>1.2513217530452667</v>
      </c>
      <c r="O69">
        <f t="shared" si="1"/>
        <v>7.6472384777856117E-2</v>
      </c>
      <c r="R69">
        <f t="shared" si="2"/>
        <v>2.2326835325711634</v>
      </c>
      <c r="S69">
        <f t="shared" si="14"/>
        <v>-1.4303349338293803E-2</v>
      </c>
      <c r="W69">
        <f t="shared" si="3"/>
        <v>0.43954360983518254</v>
      </c>
      <c r="X69">
        <f t="shared" si="4"/>
        <v>0.56045639016481741</v>
      </c>
      <c r="Y69">
        <f t="shared" si="7"/>
        <v>-1.430334933829381E-2</v>
      </c>
      <c r="Z69">
        <f t="shared" si="8"/>
        <v>6.9388939039072284E-18</v>
      </c>
      <c r="AB69">
        <f t="shared" si="9"/>
        <v>-0.11653381625595151</v>
      </c>
      <c r="AC69">
        <f t="shared" si="10"/>
        <v>7.3689384709086425E-2</v>
      </c>
      <c r="AD69">
        <f t="shared" si="11"/>
        <v>-1.4406628245190576E-2</v>
      </c>
    </row>
    <row r="70" spans="1:30" x14ac:dyDescent="0.3">
      <c r="A70" s="1">
        <v>43924</v>
      </c>
      <c r="B70">
        <v>124.300003</v>
      </c>
      <c r="C70">
        <v>128.199997</v>
      </c>
      <c r="D70">
        <v>128.199997</v>
      </c>
      <c r="E70">
        <f t="shared" si="12"/>
        <v>1.0514229229885999</v>
      </c>
      <c r="F70">
        <f t="shared" si="5"/>
        <v>1.031826270738412</v>
      </c>
      <c r="G70">
        <f t="shared" si="0"/>
        <v>5.1422922988599851E-2</v>
      </c>
      <c r="J70">
        <v>41.450001</v>
      </c>
      <c r="K70">
        <v>39.209999000000003</v>
      </c>
      <c r="L70">
        <v>35.696392000000003</v>
      </c>
      <c r="M70">
        <f t="shared" si="13"/>
        <v>0.97054439884630039</v>
      </c>
      <c r="N70">
        <f t="shared" si="6"/>
        <v>1.2144633185726172</v>
      </c>
      <c r="O70">
        <f t="shared" ref="O70:O133" si="15">M70-1</f>
        <v>-2.9455601153699607E-2</v>
      </c>
      <c r="R70">
        <f t="shared" ref="R70:R133" si="16">F70+N70</f>
        <v>2.2462895893110293</v>
      </c>
      <c r="S70">
        <f t="shared" si="14"/>
        <v>6.0940373059485964E-3</v>
      </c>
      <c r="W70">
        <f t="shared" ref="W70:W133" si="17">F70/R70</f>
        <v>0.45934694958671318</v>
      </c>
      <c r="X70">
        <f t="shared" ref="X70:X133" si="18">N70/R70</f>
        <v>0.54065305041328682</v>
      </c>
      <c r="Y70">
        <f t="shared" si="7"/>
        <v>6.0940373059486588E-3</v>
      </c>
      <c r="Z70">
        <f t="shared" si="8"/>
        <v>6.2450045135165055E-17</v>
      </c>
      <c r="AB70">
        <f t="shared" si="9"/>
        <v>5.0144411513459809E-2</v>
      </c>
      <c r="AC70">
        <f t="shared" si="10"/>
        <v>-2.9898128994666411E-2</v>
      </c>
      <c r="AD70">
        <f t="shared" si="11"/>
        <v>6.0755437561616152E-3</v>
      </c>
    </row>
    <row r="71" spans="1:30" x14ac:dyDescent="0.3">
      <c r="A71" s="1">
        <v>43927</v>
      </c>
      <c r="B71">
        <v>113.629997</v>
      </c>
      <c r="C71">
        <v>122.94000200000001</v>
      </c>
      <c r="D71">
        <v>122.94000200000001</v>
      </c>
      <c r="E71">
        <f t="shared" si="12"/>
        <v>0.95897039685578156</v>
      </c>
      <c r="F71">
        <f t="shared" ref="F71:F134" si="19">F70*E71</f>
        <v>0.98949084833623613</v>
      </c>
      <c r="G71">
        <f t="shared" ref="G71:G134" si="20">E71-1</f>
        <v>-4.1029603144218441E-2</v>
      </c>
      <c r="J71">
        <v>39.880001</v>
      </c>
      <c r="K71">
        <v>40.470001000000003</v>
      </c>
      <c r="L71">
        <v>36.843487000000003</v>
      </c>
      <c r="M71">
        <f t="shared" si="13"/>
        <v>1.0321347602861377</v>
      </c>
      <c r="N71">
        <f t="shared" ref="N71:N134" si="21">N70*M71</f>
        <v>1.2534898061912556</v>
      </c>
      <c r="O71">
        <f t="shared" si="15"/>
        <v>3.2134760286137709E-2</v>
      </c>
      <c r="R71">
        <f t="shared" si="16"/>
        <v>2.242980654527492</v>
      </c>
      <c r="S71">
        <f t="shared" si="14"/>
        <v>-1.4730668740499109E-3</v>
      </c>
      <c r="W71">
        <f t="shared" si="17"/>
        <v>0.44114996994687994</v>
      </c>
      <c r="X71">
        <f t="shared" si="18"/>
        <v>0.55885003005311995</v>
      </c>
      <c r="Y71">
        <f t="shared" ref="Y71:Y134" si="22">W70*G71+X70*O71</f>
        <v>-1.4730668740500601E-3</v>
      </c>
      <c r="Z71">
        <f t="shared" ref="Z71:Z134" si="23">ABS(Y71-S71)</f>
        <v>1.4918621893400541E-16</v>
      </c>
      <c r="AB71">
        <f t="shared" ref="AB71:AB134" si="24">LN(1+G71)</f>
        <v>-4.1895073338671797E-2</v>
      </c>
      <c r="AC71">
        <f t="shared" ref="AC71:AC134" si="25">LN(1+O71)</f>
        <v>3.1629240206940572E-2</v>
      </c>
      <c r="AD71">
        <f t="shared" ref="AD71:AD134" si="26">LN(1+S71)</f>
        <v>-1.4741529037182002E-3</v>
      </c>
    </row>
    <row r="72" spans="1:30" x14ac:dyDescent="0.3">
      <c r="A72" s="1">
        <v>43928</v>
      </c>
      <c r="B72">
        <v>118.004997</v>
      </c>
      <c r="C72">
        <v>113.75</v>
      </c>
      <c r="D72">
        <v>113.75</v>
      </c>
      <c r="E72">
        <f t="shared" ref="E72:E135" si="27">D72/D71</f>
        <v>0.9252480734464279</v>
      </c>
      <c r="F72">
        <f t="shared" si="19"/>
        <v>0.91552450111597405</v>
      </c>
      <c r="G72">
        <f t="shared" si="20"/>
        <v>-7.4751926553572101E-2</v>
      </c>
      <c r="J72">
        <v>42.900002000000001</v>
      </c>
      <c r="K72">
        <v>41.240001999999997</v>
      </c>
      <c r="L72">
        <v>37.544491000000001</v>
      </c>
      <c r="M72">
        <f t="shared" ref="M72:M135" si="28">L72/L71</f>
        <v>1.0190265378518597</v>
      </c>
      <c r="N72">
        <f t="shared" si="21"/>
        <v>1.2773393774356738</v>
      </c>
      <c r="O72">
        <f t="shared" si="15"/>
        <v>1.9026537851859704E-2</v>
      </c>
      <c r="R72">
        <f t="shared" si="16"/>
        <v>2.1928638785516479</v>
      </c>
      <c r="S72">
        <f t="shared" ref="S72:S135" si="29">(R72/R71)-1</f>
        <v>-2.2343828902261165E-2</v>
      </c>
      <c r="W72">
        <f t="shared" si="17"/>
        <v>0.41750174740470603</v>
      </c>
      <c r="X72">
        <f t="shared" si="18"/>
        <v>0.58249825259529397</v>
      </c>
      <c r="Y72">
        <f t="shared" si="22"/>
        <v>-2.2343828902261088E-2</v>
      </c>
      <c r="Z72">
        <f t="shared" si="23"/>
        <v>7.6327832942979512E-17</v>
      </c>
      <c r="AB72">
        <f t="shared" si="24"/>
        <v>-7.7693389915901787E-2</v>
      </c>
      <c r="AC72">
        <f t="shared" si="25"/>
        <v>1.8847796935683551E-2</v>
      </c>
      <c r="AD72">
        <f t="shared" si="26"/>
        <v>-2.2597234054928236E-2</v>
      </c>
    </row>
    <row r="73" spans="1:30" x14ac:dyDescent="0.3">
      <c r="A73" s="1">
        <v>43929</v>
      </c>
      <c r="B73">
        <v>115.019997</v>
      </c>
      <c r="C73">
        <v>117.80999799999999</v>
      </c>
      <c r="D73">
        <v>117.80999799999999</v>
      </c>
      <c r="E73">
        <f t="shared" si="27"/>
        <v>1.0356922901098899</v>
      </c>
      <c r="F73">
        <f t="shared" si="19"/>
        <v>0.94820166721251764</v>
      </c>
      <c r="G73">
        <f t="shared" si="20"/>
        <v>3.5692290109889946E-2</v>
      </c>
      <c r="J73">
        <v>41.950001</v>
      </c>
      <c r="K73">
        <v>43.849997999999999</v>
      </c>
      <c r="L73">
        <v>39.920600999999998</v>
      </c>
      <c r="M73">
        <f t="shared" si="28"/>
        <v>1.063287846944043</v>
      </c>
      <c r="N73">
        <f t="shared" si="21"/>
        <v>1.3581794364504218</v>
      </c>
      <c r="O73">
        <f t="shared" si="15"/>
        <v>6.3287846944042991E-2</v>
      </c>
      <c r="R73">
        <f t="shared" si="16"/>
        <v>2.3063811036629396</v>
      </c>
      <c r="S73">
        <f t="shared" si="29"/>
        <v>5.1766653745178193E-2</v>
      </c>
      <c r="W73">
        <f t="shared" si="17"/>
        <v>0.41112098330436647</v>
      </c>
      <c r="X73">
        <f t="shared" si="18"/>
        <v>0.58887901669563347</v>
      </c>
      <c r="Y73">
        <f t="shared" si="22"/>
        <v>5.176665374517822E-2</v>
      </c>
      <c r="Z73">
        <f t="shared" si="23"/>
        <v>2.7755575615628914E-17</v>
      </c>
      <c r="AB73">
        <f t="shared" si="24"/>
        <v>3.5070082450480281E-2</v>
      </c>
      <c r="AC73">
        <f t="shared" si="25"/>
        <v>6.1365850045062738E-2</v>
      </c>
      <c r="AD73">
        <f t="shared" si="26"/>
        <v>5.0471277682293286E-2</v>
      </c>
    </row>
    <row r="74" spans="1:30" x14ac:dyDescent="0.3">
      <c r="A74" s="1">
        <v>43930</v>
      </c>
      <c r="B74">
        <v>117.800003</v>
      </c>
      <c r="C74">
        <v>124.510002</v>
      </c>
      <c r="D74">
        <v>124.510002</v>
      </c>
      <c r="E74">
        <f t="shared" si="27"/>
        <v>1.0568712682602712</v>
      </c>
      <c r="F74">
        <f t="shared" si="19"/>
        <v>1.0021270985933972</v>
      </c>
      <c r="G74">
        <f t="shared" si="20"/>
        <v>5.6871268260271224E-2</v>
      </c>
      <c r="J74">
        <v>45.459999000000003</v>
      </c>
      <c r="K74">
        <v>43.130001</v>
      </c>
      <c r="L74">
        <v>39.265121000000001</v>
      </c>
      <c r="M74">
        <f t="shared" si="28"/>
        <v>0.98358040751941589</v>
      </c>
      <c r="N74">
        <f t="shared" si="21"/>
        <v>1.3358786835883965</v>
      </c>
      <c r="O74">
        <f t="shared" si="15"/>
        <v>-1.6419592480584111E-2</v>
      </c>
      <c r="R74">
        <f t="shared" si="16"/>
        <v>2.3380057821817939</v>
      </c>
      <c r="S74">
        <f t="shared" si="29"/>
        <v>1.3711818254419805E-2</v>
      </c>
      <c r="W74">
        <f t="shared" si="17"/>
        <v>0.42862473062758055</v>
      </c>
      <c r="X74">
        <f t="shared" si="18"/>
        <v>0.57137526937241934</v>
      </c>
      <c r="Y74">
        <f t="shared" si="22"/>
        <v>1.3711818254419724E-2</v>
      </c>
      <c r="Z74">
        <f t="shared" si="23"/>
        <v>8.1532003370909933E-17</v>
      </c>
      <c r="AB74">
        <f t="shared" si="24"/>
        <v>5.5312909745747763E-2</v>
      </c>
      <c r="AC74">
        <f t="shared" si="25"/>
        <v>-1.6555887993210092E-2</v>
      </c>
      <c r="AD74">
        <f t="shared" si="26"/>
        <v>1.3618661870780964E-2</v>
      </c>
    </row>
    <row r="75" spans="1:30" x14ac:dyDescent="0.3">
      <c r="A75" s="1">
        <v>43934</v>
      </c>
      <c r="B75">
        <v>127</v>
      </c>
      <c r="C75">
        <v>135.91999799999999</v>
      </c>
      <c r="D75">
        <v>135.91999799999999</v>
      </c>
      <c r="E75">
        <f t="shared" si="27"/>
        <v>1.0916391921670678</v>
      </c>
      <c r="F75">
        <f t="shared" si="19"/>
        <v>1.0939612163572237</v>
      </c>
      <c r="G75">
        <f t="shared" si="20"/>
        <v>9.163919216706784E-2</v>
      </c>
      <c r="J75">
        <v>44.450001</v>
      </c>
      <c r="K75">
        <v>42.759998000000003</v>
      </c>
      <c r="L75">
        <v>38.928275999999997</v>
      </c>
      <c r="M75">
        <f t="shared" si="28"/>
        <v>0.99142126672677255</v>
      </c>
      <c r="N75">
        <f t="shared" si="21"/>
        <v>1.3244185366765013</v>
      </c>
      <c r="O75">
        <f t="shared" si="15"/>
        <v>-8.5787332732274457E-3</v>
      </c>
      <c r="R75">
        <f t="shared" si="16"/>
        <v>2.418379753033725</v>
      </c>
      <c r="S75">
        <f t="shared" si="29"/>
        <v>3.4377148022673998E-2</v>
      </c>
      <c r="W75">
        <f t="shared" si="17"/>
        <v>0.45235295035236267</v>
      </c>
      <c r="X75">
        <f t="shared" si="18"/>
        <v>0.54764704964763733</v>
      </c>
      <c r="Y75">
        <f t="shared" si="22"/>
        <v>3.4377148022674074E-2</v>
      </c>
      <c r="Z75">
        <f t="shared" si="23"/>
        <v>7.6327832942979512E-17</v>
      </c>
      <c r="AB75">
        <f t="shared" si="24"/>
        <v>8.7680412621850654E-2</v>
      </c>
      <c r="AC75">
        <f t="shared" si="25"/>
        <v>-8.6157424185833095E-3</v>
      </c>
      <c r="AD75">
        <f t="shared" si="26"/>
        <v>3.3799456219369139E-2</v>
      </c>
    </row>
    <row r="76" spans="1:30" x14ac:dyDescent="0.3">
      <c r="A76" s="1">
        <v>43935</v>
      </c>
      <c r="B76">
        <v>141.070007</v>
      </c>
      <c r="C76">
        <v>141.88999899999999</v>
      </c>
      <c r="D76">
        <v>141.88999899999999</v>
      </c>
      <c r="E76">
        <f t="shared" si="27"/>
        <v>1.0439229038246454</v>
      </c>
      <c r="F76">
        <f t="shared" si="19"/>
        <v>1.1420111696511741</v>
      </c>
      <c r="G76">
        <f t="shared" si="20"/>
        <v>4.3922903824645365E-2</v>
      </c>
      <c r="J76">
        <v>43</v>
      </c>
      <c r="K76">
        <v>42.43</v>
      </c>
      <c r="L76">
        <v>38.627850000000002</v>
      </c>
      <c r="M76">
        <f t="shared" si="28"/>
        <v>0.99228257629492778</v>
      </c>
      <c r="N76">
        <f t="shared" si="21"/>
        <v>1.314197437666117</v>
      </c>
      <c r="O76">
        <f t="shared" si="15"/>
        <v>-7.7174237050722239E-3</v>
      </c>
      <c r="R76">
        <f t="shared" si="16"/>
        <v>2.4562086073172908</v>
      </c>
      <c r="S76">
        <f t="shared" si="29"/>
        <v>1.5642230810157809E-2</v>
      </c>
      <c r="W76">
        <f t="shared" si="17"/>
        <v>0.46494876951778802</v>
      </c>
      <c r="X76">
        <f t="shared" si="18"/>
        <v>0.53505123048221215</v>
      </c>
      <c r="Y76">
        <f t="shared" si="22"/>
        <v>1.5642230810157864E-2</v>
      </c>
      <c r="Z76">
        <f t="shared" si="23"/>
        <v>5.5511151231257827E-17</v>
      </c>
      <c r="AB76">
        <f t="shared" si="24"/>
        <v>4.2985639822370351E-2</v>
      </c>
      <c r="AC76">
        <f t="shared" si="25"/>
        <v>-7.7473571247696441E-3</v>
      </c>
      <c r="AD76">
        <f t="shared" si="26"/>
        <v>1.5521152112819807E-2</v>
      </c>
    </row>
    <row r="77" spans="1:30" x14ac:dyDescent="0.3">
      <c r="A77" s="1">
        <v>43936</v>
      </c>
      <c r="B77">
        <v>141.71000699999999</v>
      </c>
      <c r="C77">
        <v>151.55999800000001</v>
      </c>
      <c r="D77">
        <v>151.55999800000001</v>
      </c>
      <c r="E77">
        <f t="shared" si="27"/>
        <v>1.0681513783082064</v>
      </c>
      <c r="F77">
        <f t="shared" si="19"/>
        <v>1.2198408049062686</v>
      </c>
      <c r="G77">
        <f t="shared" si="20"/>
        <v>6.815137830820639E-2</v>
      </c>
      <c r="J77">
        <v>41</v>
      </c>
      <c r="K77">
        <v>40.479999999999997</v>
      </c>
      <c r="L77">
        <v>36.852584999999998</v>
      </c>
      <c r="M77">
        <f t="shared" si="28"/>
        <v>0.95404183768964612</v>
      </c>
      <c r="N77">
        <f t="shared" si="21"/>
        <v>1.2537993385180064</v>
      </c>
      <c r="O77">
        <f t="shared" si="15"/>
        <v>-4.5958162310353878E-2</v>
      </c>
      <c r="R77">
        <f t="shared" si="16"/>
        <v>2.4736401434242747</v>
      </c>
      <c r="S77">
        <f t="shared" si="29"/>
        <v>7.0969281904857962E-3</v>
      </c>
      <c r="W77">
        <f t="shared" si="17"/>
        <v>0.49313591879926222</v>
      </c>
      <c r="X77">
        <f t="shared" si="18"/>
        <v>0.50686408120073789</v>
      </c>
      <c r="Y77">
        <f t="shared" si="22"/>
        <v>7.0969281904857649E-3</v>
      </c>
      <c r="Z77">
        <f t="shared" si="23"/>
        <v>3.1225022567582528E-17</v>
      </c>
      <c r="AB77">
        <f t="shared" si="24"/>
        <v>6.5929470482797251E-2</v>
      </c>
      <c r="AC77">
        <f t="shared" si="25"/>
        <v>-4.7047753474860406E-2</v>
      </c>
      <c r="AD77">
        <f t="shared" si="26"/>
        <v>7.0718635138852645E-3</v>
      </c>
    </row>
    <row r="78" spans="1:30" x14ac:dyDescent="0.3">
      <c r="A78" s="1">
        <v>43937</v>
      </c>
      <c r="B78">
        <v>149.91999799999999</v>
      </c>
      <c r="C78">
        <v>150.259995</v>
      </c>
      <c r="D78">
        <v>150.259995</v>
      </c>
      <c r="E78">
        <f t="shared" si="27"/>
        <v>0.99142251902114698</v>
      </c>
      <c r="F78">
        <f t="shared" si="19"/>
        <v>1.2093776436049564</v>
      </c>
      <c r="G78">
        <f t="shared" si="20"/>
        <v>-8.5774809788530249E-3</v>
      </c>
      <c r="J78">
        <v>40.479999999999997</v>
      </c>
      <c r="K78">
        <v>39.150002000000001</v>
      </c>
      <c r="L78">
        <v>35.641773000000001</v>
      </c>
      <c r="M78">
        <f t="shared" si="28"/>
        <v>0.96714444861873339</v>
      </c>
      <c r="N78">
        <f t="shared" si="21"/>
        <v>1.2126050699295299</v>
      </c>
      <c r="O78">
        <f t="shared" si="15"/>
        <v>-3.2855551381266612E-2</v>
      </c>
      <c r="R78">
        <f t="shared" si="16"/>
        <v>2.4219827135344865</v>
      </c>
      <c r="S78">
        <f t="shared" si="29"/>
        <v>-2.0883162826698998E-2</v>
      </c>
      <c r="W78">
        <f t="shared" si="17"/>
        <v>0.49933372226264494</v>
      </c>
      <c r="X78">
        <f t="shared" si="18"/>
        <v>0.50066627773735495</v>
      </c>
      <c r="Y78">
        <f t="shared" si="22"/>
        <v>-2.088316282669922E-2</v>
      </c>
      <c r="Z78">
        <f t="shared" si="23"/>
        <v>2.2204460492503131E-16</v>
      </c>
      <c r="AB78">
        <f t="shared" si="24"/>
        <v>-8.6144792889475599E-3</v>
      </c>
      <c r="AC78">
        <f t="shared" si="25"/>
        <v>-3.340741658874153E-2</v>
      </c>
      <c r="AD78">
        <f t="shared" si="26"/>
        <v>-2.110430018810899E-2</v>
      </c>
    </row>
    <row r="79" spans="1:30" x14ac:dyDescent="0.3">
      <c r="A79" s="1">
        <v>43938</v>
      </c>
      <c r="B79">
        <v>147.91000399999999</v>
      </c>
      <c r="C79">
        <v>150.05999800000001</v>
      </c>
      <c r="D79">
        <v>150.05999800000001</v>
      </c>
      <c r="E79">
        <f t="shared" si="27"/>
        <v>0.99866899369988671</v>
      </c>
      <c r="F79">
        <f t="shared" si="19"/>
        <v>1.207767954342102</v>
      </c>
      <c r="G79">
        <f t="shared" si="20"/>
        <v>-1.331006300113291E-3</v>
      </c>
      <c r="J79">
        <v>39.880001</v>
      </c>
      <c r="K79">
        <v>43.220001000000003</v>
      </c>
      <c r="L79">
        <v>39.347057</v>
      </c>
      <c r="M79">
        <f t="shared" si="28"/>
        <v>1.1039590258318519</v>
      </c>
      <c r="N79">
        <f t="shared" si="21"/>
        <v>1.3386663117181685</v>
      </c>
      <c r="O79">
        <f t="shared" si="15"/>
        <v>0.1039590258318519</v>
      </c>
      <c r="R79">
        <f t="shared" si="16"/>
        <v>2.5464342660602703</v>
      </c>
      <c r="S79">
        <f t="shared" si="29"/>
        <v>5.1384162170243997E-2</v>
      </c>
      <c r="W79">
        <f t="shared" si="17"/>
        <v>0.4742977152167791</v>
      </c>
      <c r="X79">
        <f t="shared" si="18"/>
        <v>0.52570228478322101</v>
      </c>
      <c r="Y79">
        <f t="shared" si="22"/>
        <v>5.1384162170244219E-2</v>
      </c>
      <c r="Z79">
        <f t="shared" si="23"/>
        <v>2.2204460492503131E-16</v>
      </c>
      <c r="AB79">
        <f t="shared" si="24"/>
        <v>-1.3318928757779448E-3</v>
      </c>
      <c r="AC79">
        <f t="shared" si="25"/>
        <v>9.890283288340869E-2</v>
      </c>
      <c r="AD79">
        <f t="shared" si="26"/>
        <v>5.0107545727117536E-2</v>
      </c>
    </row>
    <row r="80" spans="1:30" x14ac:dyDescent="0.3">
      <c r="A80" s="1">
        <v>43941</v>
      </c>
      <c r="B80">
        <v>153.300003</v>
      </c>
      <c r="C80">
        <v>148.990005</v>
      </c>
      <c r="D80">
        <v>148.990005</v>
      </c>
      <c r="E80">
        <f t="shared" si="27"/>
        <v>0.99286956541209592</v>
      </c>
      <c r="F80">
        <f t="shared" si="19"/>
        <v>1.1991560439462989</v>
      </c>
      <c r="G80">
        <f t="shared" si="20"/>
        <v>-7.1304345879040776E-3</v>
      </c>
      <c r="J80">
        <v>40.75</v>
      </c>
      <c r="K80">
        <v>41.18</v>
      </c>
      <c r="L80">
        <v>37.489860999999998</v>
      </c>
      <c r="M80">
        <f t="shared" si="28"/>
        <v>0.95279962107458249</v>
      </c>
      <c r="N80">
        <f t="shared" si="21"/>
        <v>1.2754807545503799</v>
      </c>
      <c r="O80">
        <f t="shared" si="15"/>
        <v>-4.7200378925417508E-2</v>
      </c>
      <c r="R80">
        <f t="shared" si="16"/>
        <v>2.4746367984966788</v>
      </c>
      <c r="S80">
        <f t="shared" si="29"/>
        <v>-2.819529587727132E-2</v>
      </c>
      <c r="W80">
        <f t="shared" si="17"/>
        <v>0.48457860348426735</v>
      </c>
      <c r="X80">
        <f t="shared" si="18"/>
        <v>0.5154213965157326</v>
      </c>
      <c r="Y80">
        <f t="shared" si="22"/>
        <v>-2.8195295877271379E-2</v>
      </c>
      <c r="Z80">
        <f t="shared" si="23"/>
        <v>5.8980598183211441E-17</v>
      </c>
      <c r="AB80">
        <f t="shared" si="24"/>
        <v>-7.1559776310340245E-3</v>
      </c>
      <c r="AC80">
        <f t="shared" si="25"/>
        <v>-4.8350658637827622E-2</v>
      </c>
      <c r="AD80">
        <f t="shared" si="26"/>
        <v>-2.860041639359924E-2</v>
      </c>
    </row>
    <row r="81" spans="1:30" x14ac:dyDescent="0.3">
      <c r="A81" s="1">
        <v>43942</v>
      </c>
      <c r="B81">
        <v>151.41999799999999</v>
      </c>
      <c r="C81">
        <v>143.270004</v>
      </c>
      <c r="D81">
        <v>143.270004</v>
      </c>
      <c r="E81">
        <f t="shared" si="27"/>
        <v>0.96160815619812889</v>
      </c>
      <c r="F81">
        <f t="shared" si="19"/>
        <v>1.1531182324130429</v>
      </c>
      <c r="G81">
        <f t="shared" si="20"/>
        <v>-3.8391843801871106E-2</v>
      </c>
      <c r="J81">
        <v>40.400002000000001</v>
      </c>
      <c r="K81">
        <v>40.959999000000003</v>
      </c>
      <c r="L81">
        <v>37.289577000000001</v>
      </c>
      <c r="M81">
        <f t="shared" si="28"/>
        <v>0.99465764890405983</v>
      </c>
      <c r="N81">
        <f t="shared" si="21"/>
        <v>1.268666688543457</v>
      </c>
      <c r="O81">
        <f t="shared" si="15"/>
        <v>-5.3423510959401677E-3</v>
      </c>
      <c r="R81">
        <f t="shared" si="16"/>
        <v>2.4217849209565001</v>
      </c>
      <c r="S81">
        <f t="shared" si="29"/>
        <v>-2.1357428117243615E-2</v>
      </c>
      <c r="W81">
        <f t="shared" si="17"/>
        <v>0.47614394756311024</v>
      </c>
      <c r="X81">
        <f t="shared" si="18"/>
        <v>0.52385605243688971</v>
      </c>
      <c r="Y81">
        <f t="shared" si="22"/>
        <v>-2.1357428117243664E-2</v>
      </c>
      <c r="Z81">
        <f t="shared" si="23"/>
        <v>4.8572257327350599E-17</v>
      </c>
      <c r="AB81">
        <f t="shared" si="24"/>
        <v>-3.9148233333952814E-2</v>
      </c>
      <c r="AC81">
        <f t="shared" si="25"/>
        <v>-5.3566724829140931E-3</v>
      </c>
      <c r="AD81">
        <f t="shared" si="26"/>
        <v>-2.1588798229725491E-2</v>
      </c>
    </row>
    <row r="82" spans="1:30" x14ac:dyDescent="0.3">
      <c r="A82" s="1">
        <v>43943</v>
      </c>
      <c r="B82">
        <v>147.10000600000001</v>
      </c>
      <c r="C82">
        <v>150.25</v>
      </c>
      <c r="D82">
        <v>150.25</v>
      </c>
      <c r="E82">
        <f t="shared" si="27"/>
        <v>1.0487191722281239</v>
      </c>
      <c r="F82">
        <f t="shared" si="19"/>
        <v>1.2092971981773637</v>
      </c>
      <c r="G82">
        <f t="shared" si="20"/>
        <v>4.8719172228123941E-2</v>
      </c>
      <c r="J82">
        <v>42.599997999999999</v>
      </c>
      <c r="K82">
        <v>42.130001</v>
      </c>
      <c r="L82">
        <v>38.354728999999999</v>
      </c>
      <c r="M82">
        <f t="shared" si="28"/>
        <v>1.0285643358196312</v>
      </c>
      <c r="N82">
        <f t="shared" si="21"/>
        <v>1.3049053098781918</v>
      </c>
      <c r="O82">
        <f t="shared" si="15"/>
        <v>2.8564335819631248E-2</v>
      </c>
      <c r="R82">
        <f t="shared" si="16"/>
        <v>2.5142025080555555</v>
      </c>
      <c r="S82">
        <f t="shared" si="29"/>
        <v>3.8160939189659571E-2</v>
      </c>
      <c r="W82">
        <f t="shared" si="17"/>
        <v>0.48098639401669163</v>
      </c>
      <c r="X82">
        <f t="shared" si="18"/>
        <v>0.51901360598330837</v>
      </c>
      <c r="Y82">
        <f t="shared" si="22"/>
        <v>3.8160939189659654E-2</v>
      </c>
      <c r="Z82">
        <f t="shared" si="23"/>
        <v>8.3266726846886741E-17</v>
      </c>
      <c r="AB82">
        <f t="shared" si="24"/>
        <v>4.7569583590723295E-2</v>
      </c>
      <c r="AC82">
        <f t="shared" si="25"/>
        <v>2.8163981212006597E-2</v>
      </c>
      <c r="AD82">
        <f t="shared" si="26"/>
        <v>3.7450820113974832E-2</v>
      </c>
    </row>
    <row r="83" spans="1:30" x14ac:dyDescent="0.3">
      <c r="A83" s="1">
        <v>43944</v>
      </c>
      <c r="B83">
        <v>154.009995</v>
      </c>
      <c r="C83">
        <v>169.08999600000001</v>
      </c>
      <c r="D83">
        <v>169.08999600000001</v>
      </c>
      <c r="E83">
        <f t="shared" si="27"/>
        <v>1.1253909883527455</v>
      </c>
      <c r="F83">
        <f t="shared" si="19"/>
        <v>1.3609321690690293</v>
      </c>
      <c r="G83">
        <f t="shared" si="20"/>
        <v>0.12539098835274554</v>
      </c>
      <c r="J83">
        <v>43.130001</v>
      </c>
      <c r="K83">
        <v>43.450001</v>
      </c>
      <c r="L83">
        <v>39.556449999999998</v>
      </c>
      <c r="M83">
        <f t="shared" si="28"/>
        <v>1.0313317557269144</v>
      </c>
      <c r="N83">
        <f t="shared" si="21"/>
        <v>1.3457902842940488</v>
      </c>
      <c r="O83">
        <f t="shared" si="15"/>
        <v>3.1331755726914379E-2</v>
      </c>
      <c r="R83">
        <f t="shared" si="16"/>
        <v>2.7067224533630778</v>
      </c>
      <c r="S83">
        <f t="shared" si="29"/>
        <v>7.6572966851589985E-2</v>
      </c>
      <c r="W83">
        <f t="shared" si="17"/>
        <v>0.50279708855190652</v>
      </c>
      <c r="X83">
        <f t="shared" si="18"/>
        <v>0.49720291144809353</v>
      </c>
      <c r="Y83">
        <f t="shared" si="22"/>
        <v>7.6572966851590069E-2</v>
      </c>
      <c r="Z83">
        <f t="shared" si="23"/>
        <v>8.3266726846886741E-17</v>
      </c>
      <c r="AB83">
        <f t="shared" si="24"/>
        <v>0.11813052047897947</v>
      </c>
      <c r="AC83">
        <f t="shared" si="25"/>
        <v>3.0850933805041121E-2</v>
      </c>
      <c r="AD83">
        <f t="shared" si="26"/>
        <v>7.3782817087304484E-2</v>
      </c>
    </row>
    <row r="84" spans="1:30" x14ac:dyDescent="0.3">
      <c r="A84" s="1">
        <v>43945</v>
      </c>
      <c r="B84">
        <v>177.14999399999999</v>
      </c>
      <c r="C84">
        <v>158.800003</v>
      </c>
      <c r="D84">
        <v>158.800003</v>
      </c>
      <c r="E84">
        <f t="shared" si="27"/>
        <v>0.93914487407049196</v>
      </c>
      <c r="F84">
        <f t="shared" si="19"/>
        <v>1.2781124705388149</v>
      </c>
      <c r="G84">
        <f t="shared" si="20"/>
        <v>-6.0855125929508036E-2</v>
      </c>
      <c r="J84">
        <v>44.400002000000001</v>
      </c>
      <c r="K84">
        <v>43.73</v>
      </c>
      <c r="L84">
        <v>39.811359000000003</v>
      </c>
      <c r="M84">
        <f t="shared" si="28"/>
        <v>1.006444182933504</v>
      </c>
      <c r="N84">
        <f t="shared" si="21"/>
        <v>1.3544628030761721</v>
      </c>
      <c r="O84">
        <f t="shared" si="15"/>
        <v>6.4441829335040168E-3</v>
      </c>
      <c r="R84">
        <f t="shared" si="16"/>
        <v>2.6325752736149868</v>
      </c>
      <c r="S84">
        <f t="shared" si="29"/>
        <v>-2.7393713624373928E-2</v>
      </c>
      <c r="W84">
        <f t="shared" si="17"/>
        <v>0.48549892698176972</v>
      </c>
      <c r="X84">
        <f t="shared" si="18"/>
        <v>0.51450107301823034</v>
      </c>
      <c r="Y84">
        <f t="shared" si="22"/>
        <v>-2.7393713624373959E-2</v>
      </c>
      <c r="Z84">
        <f t="shared" si="23"/>
        <v>3.1225022567582528E-17</v>
      </c>
      <c r="AB84">
        <f t="shared" si="24"/>
        <v>-6.2785526189573573E-2</v>
      </c>
      <c r="AC84">
        <f t="shared" si="25"/>
        <v>6.4235079613300548E-3</v>
      </c>
      <c r="AD84">
        <f t="shared" si="26"/>
        <v>-2.7775917558503203E-2</v>
      </c>
    </row>
    <row r="85" spans="1:30" x14ac:dyDescent="0.3">
      <c r="A85" s="1">
        <v>43948</v>
      </c>
      <c r="B85">
        <v>156.58999600000001</v>
      </c>
      <c r="C85">
        <v>164.60000600000001</v>
      </c>
      <c r="D85">
        <v>164.60000600000001</v>
      </c>
      <c r="E85">
        <f t="shared" si="27"/>
        <v>1.0365239476727215</v>
      </c>
      <c r="F85">
        <f t="shared" si="19"/>
        <v>1.3247941835326273</v>
      </c>
      <c r="G85">
        <f t="shared" si="20"/>
        <v>3.6523947672721491E-2</v>
      </c>
      <c r="J85">
        <v>43.59</v>
      </c>
      <c r="K85">
        <v>43.939999</v>
      </c>
      <c r="L85">
        <v>40.002536999999997</v>
      </c>
      <c r="M85">
        <f t="shared" si="28"/>
        <v>1.0048020968086016</v>
      </c>
      <c r="N85">
        <f t="shared" si="21"/>
        <v>1.3609670645801937</v>
      </c>
      <c r="O85">
        <f t="shared" si="15"/>
        <v>4.8020968086015525E-3</v>
      </c>
      <c r="R85">
        <f t="shared" si="16"/>
        <v>2.6857612481128212</v>
      </c>
      <c r="S85">
        <f t="shared" si="29"/>
        <v>2.0203021365007734E-2</v>
      </c>
      <c r="W85">
        <f t="shared" si="17"/>
        <v>0.49326580479315058</v>
      </c>
      <c r="X85">
        <f t="shared" si="18"/>
        <v>0.50673419520684937</v>
      </c>
      <c r="Y85">
        <f t="shared" si="22"/>
        <v>2.0203021365007508E-2</v>
      </c>
      <c r="Z85">
        <f t="shared" si="23"/>
        <v>2.2551405187698492E-16</v>
      </c>
      <c r="AB85">
        <f t="shared" si="24"/>
        <v>3.5872756990250901E-2</v>
      </c>
      <c r="AC85">
        <f t="shared" si="25"/>
        <v>4.790603521619783E-3</v>
      </c>
      <c r="AD85">
        <f t="shared" si="26"/>
        <v>2.000164804416589E-2</v>
      </c>
    </row>
    <row r="86" spans="1:30" x14ac:dyDescent="0.3">
      <c r="A86" s="1">
        <v>43949</v>
      </c>
      <c r="B86">
        <v>165</v>
      </c>
      <c r="C86">
        <v>156.720001</v>
      </c>
      <c r="D86">
        <v>156.720001</v>
      </c>
      <c r="E86">
        <f t="shared" si="27"/>
        <v>0.95212633831860238</v>
      </c>
      <c r="F86">
        <f t="shared" si="19"/>
        <v>1.261371434992703</v>
      </c>
      <c r="G86">
        <f t="shared" si="20"/>
        <v>-4.7873661681397617E-2</v>
      </c>
      <c r="J86">
        <v>44.369999</v>
      </c>
      <c r="K86">
        <v>44.970001000000003</v>
      </c>
      <c r="L86">
        <v>40.940238999999998</v>
      </c>
      <c r="M86">
        <f t="shared" si="28"/>
        <v>1.0234410632505633</v>
      </c>
      <c r="N86">
        <f t="shared" si="21"/>
        <v>1.3928695796229513</v>
      </c>
      <c r="O86">
        <f t="shared" si="15"/>
        <v>2.3441063250563277E-2</v>
      </c>
      <c r="R86">
        <f t="shared" si="16"/>
        <v>2.6542410146156543</v>
      </c>
      <c r="S86">
        <f t="shared" si="29"/>
        <v>-1.1736051936602654E-2</v>
      </c>
      <c r="W86">
        <f t="shared" si="17"/>
        <v>0.47522867292266413</v>
      </c>
      <c r="X86">
        <f t="shared" si="18"/>
        <v>0.52477132707733587</v>
      </c>
      <c r="Y86">
        <f t="shared" si="22"/>
        <v>-1.1736051936602574E-2</v>
      </c>
      <c r="Z86">
        <f t="shared" si="23"/>
        <v>7.9797279894933126E-17</v>
      </c>
      <c r="AB86">
        <f t="shared" si="24"/>
        <v>-4.9057544677881919E-2</v>
      </c>
      <c r="AC86">
        <f t="shared" si="25"/>
        <v>2.3170540924878791E-2</v>
      </c>
      <c r="AD86">
        <f t="shared" si="26"/>
        <v>-1.1805463003199511E-2</v>
      </c>
    </row>
    <row r="87" spans="1:30" x14ac:dyDescent="0.3">
      <c r="A87" s="1">
        <v>43950</v>
      </c>
      <c r="B87">
        <v>147.979996</v>
      </c>
      <c r="C87">
        <v>146.479996</v>
      </c>
      <c r="D87">
        <v>146.479996</v>
      </c>
      <c r="E87">
        <f t="shared" si="27"/>
        <v>0.93466050960528013</v>
      </c>
      <c r="F87">
        <f t="shared" si="19"/>
        <v>1.1789540682318234</v>
      </c>
      <c r="G87">
        <f t="shared" si="20"/>
        <v>-6.5339490394719868E-2</v>
      </c>
      <c r="J87">
        <v>46.259998000000003</v>
      </c>
      <c r="K87">
        <v>47.459999000000003</v>
      </c>
      <c r="L87">
        <v>43.207107999999998</v>
      </c>
      <c r="M87">
        <f t="shared" si="28"/>
        <v>1.0553701945902172</v>
      </c>
      <c r="N87">
        <f t="shared" si="21"/>
        <v>1.4699930392854681</v>
      </c>
      <c r="O87">
        <f t="shared" si="15"/>
        <v>5.5370194590217192E-2</v>
      </c>
      <c r="R87">
        <f t="shared" si="16"/>
        <v>2.6489471075172917</v>
      </c>
      <c r="S87">
        <f t="shared" si="29"/>
        <v>-1.994508814087137E-3</v>
      </c>
      <c r="W87">
        <f t="shared" si="17"/>
        <v>0.44506515999739621</v>
      </c>
      <c r="X87">
        <f t="shared" si="18"/>
        <v>0.55493484000260374</v>
      </c>
      <c r="Y87">
        <f t="shared" si="22"/>
        <v>-1.9945088140872827E-3</v>
      </c>
      <c r="Z87">
        <f t="shared" si="23"/>
        <v>1.457167719820518E-16</v>
      </c>
      <c r="AB87">
        <f t="shared" si="24"/>
        <v>-6.7571906958319092E-2</v>
      </c>
      <c r="AC87">
        <f t="shared" si="25"/>
        <v>5.3891600724833108E-2</v>
      </c>
      <c r="AD87">
        <f t="shared" si="26"/>
        <v>-1.9965004955166208E-3</v>
      </c>
    </row>
    <row r="88" spans="1:30" s="6" customFormat="1" x14ac:dyDescent="0.3">
      <c r="A88" s="5">
        <v>43951</v>
      </c>
      <c r="B88" s="6">
        <v>139.990005</v>
      </c>
      <c r="C88" s="6">
        <v>135.16999799999999</v>
      </c>
      <c r="D88" s="6">
        <v>135.16999799999999</v>
      </c>
      <c r="E88" s="6">
        <f t="shared" si="27"/>
        <v>0.9227881054830176</v>
      </c>
      <c r="F88" s="6">
        <f t="shared" si="19"/>
        <v>1.0879247910751406</v>
      </c>
      <c r="G88" s="6">
        <f t="shared" si="20"/>
        <v>-7.7211894516982404E-2</v>
      </c>
      <c r="H88" s="7">
        <f>0.5*R88</f>
        <v>1.2636271645986714</v>
      </c>
      <c r="J88" s="6">
        <v>47.68</v>
      </c>
      <c r="K88" s="6">
        <v>46.470001000000003</v>
      </c>
      <c r="L88" s="6">
        <v>42.305824000000001</v>
      </c>
      <c r="M88" s="6">
        <f t="shared" si="28"/>
        <v>0.97914037662506836</v>
      </c>
      <c r="N88" s="6">
        <f t="shared" si="21"/>
        <v>1.4393295381222022</v>
      </c>
      <c r="O88" s="6">
        <f t="shared" si="15"/>
        <v>-2.0859623374931635E-2</v>
      </c>
      <c r="P88" s="7">
        <f>0.5*R88</f>
        <v>1.2636271645986714</v>
      </c>
      <c r="R88" s="6">
        <f t="shared" si="16"/>
        <v>2.5272543291973428</v>
      </c>
      <c r="S88" s="6">
        <f t="shared" si="29"/>
        <v>-4.5940055946985137E-2</v>
      </c>
      <c r="U88" s="6">
        <f>F88/R88</f>
        <v>0.4304769719874873</v>
      </c>
      <c r="V88" s="6">
        <f>N88/R88</f>
        <v>0.56952302801251264</v>
      </c>
      <c r="W88" s="7">
        <v>0.5</v>
      </c>
      <c r="X88" s="7">
        <v>0.5</v>
      </c>
      <c r="Y88" s="6">
        <f t="shared" si="22"/>
        <v>-4.5940055946985116E-2</v>
      </c>
      <c r="Z88" s="6">
        <f t="shared" si="23"/>
        <v>2.0816681711721685E-17</v>
      </c>
      <c r="AB88" s="6">
        <f t="shared" si="24"/>
        <v>-8.0355642359218993E-2</v>
      </c>
      <c r="AC88" s="6">
        <f t="shared" si="25"/>
        <v>-2.1080258962469546E-2</v>
      </c>
      <c r="AD88" s="6">
        <f t="shared" si="26"/>
        <v>-4.7028775070728585E-2</v>
      </c>
    </row>
    <row r="89" spans="1:30" s="6" customFormat="1" x14ac:dyDescent="0.3">
      <c r="A89" s="5">
        <v>43952</v>
      </c>
      <c r="B89" s="6">
        <v>136</v>
      </c>
      <c r="C89" s="6">
        <v>138.55999800000001</v>
      </c>
      <c r="D89" s="6">
        <v>138.55999800000001</v>
      </c>
      <c r="E89" s="6">
        <f t="shared" si="27"/>
        <v>1.0250795298524753</v>
      </c>
      <c r="F89" s="7">
        <f>H88*E89</f>
        <v>1.2953183397956225</v>
      </c>
      <c r="G89" s="6">
        <f t="shared" si="20"/>
        <v>2.5079529852475302E-2</v>
      </c>
      <c r="J89" s="6">
        <v>45.630001</v>
      </c>
      <c r="K89" s="6">
        <v>43.139999000000003</v>
      </c>
      <c r="L89" s="6">
        <v>39.274227000000003</v>
      </c>
      <c r="M89" s="6">
        <f t="shared" si="28"/>
        <v>0.92834090644351952</v>
      </c>
      <c r="N89" s="7">
        <f>P88*M89</f>
        <v>1.1730767873901851</v>
      </c>
      <c r="O89" s="6">
        <f t="shared" si="15"/>
        <v>-7.165909355648048E-2</v>
      </c>
      <c r="R89" s="6">
        <f t="shared" si="16"/>
        <v>2.4683951271858078</v>
      </c>
      <c r="S89" s="6">
        <f t="shared" si="29"/>
        <v>-2.3289781852002478E-2</v>
      </c>
      <c r="W89" s="6">
        <f t="shared" si="17"/>
        <v>0.52476134210830405</v>
      </c>
      <c r="X89" s="6">
        <f t="shared" si="18"/>
        <v>0.47523865789169578</v>
      </c>
      <c r="Y89" s="7">
        <f t="shared" si="22"/>
        <v>-2.3289781852002589E-2</v>
      </c>
      <c r="Z89" s="6">
        <f t="shared" si="23"/>
        <v>1.1102230246251565E-16</v>
      </c>
      <c r="AB89" s="6">
        <f t="shared" si="24"/>
        <v>2.4770199680391292E-2</v>
      </c>
      <c r="AC89" s="6">
        <f t="shared" si="25"/>
        <v>-7.4356257573282541E-2</v>
      </c>
      <c r="AD89" s="6">
        <f t="shared" si="26"/>
        <v>-2.3565274672918645E-2</v>
      </c>
    </row>
    <row r="90" spans="1:30" x14ac:dyDescent="0.3">
      <c r="A90" s="1">
        <v>43955</v>
      </c>
      <c r="B90">
        <v>140.770004</v>
      </c>
      <c r="C90">
        <v>143.44000199999999</v>
      </c>
      <c r="D90">
        <v>143.44000199999999</v>
      </c>
      <c r="E90">
        <f t="shared" si="27"/>
        <v>1.03521942891483</v>
      </c>
      <c r="F90">
        <f t="shared" si="19"/>
        <v>1.34093871198613</v>
      </c>
      <c r="G90">
        <f t="shared" si="20"/>
        <v>3.5219428914829987E-2</v>
      </c>
      <c r="J90">
        <v>42.509998000000003</v>
      </c>
      <c r="K90">
        <v>44.880001</v>
      </c>
      <c r="L90">
        <v>40.858302999999999</v>
      </c>
      <c r="M90">
        <f t="shared" si="28"/>
        <v>1.04033372827427</v>
      </c>
      <c r="N90">
        <f t="shared" si="21"/>
        <v>1.2203913477776342</v>
      </c>
      <c r="O90">
        <f t="shared" si="15"/>
        <v>4.0333728274269953E-2</v>
      </c>
      <c r="R90">
        <f t="shared" si="16"/>
        <v>2.5613300597637645</v>
      </c>
      <c r="S90">
        <f t="shared" si="29"/>
        <v>3.7649941678466581E-2</v>
      </c>
      <c r="W90">
        <f t="shared" si="17"/>
        <v>0.52353218081929154</v>
      </c>
      <c r="X90">
        <f t="shared" si="18"/>
        <v>0.47646781918070835</v>
      </c>
      <c r="Y90">
        <f t="shared" si="22"/>
        <v>3.7649941678466595E-2</v>
      </c>
      <c r="Z90">
        <f t="shared" si="23"/>
        <v>1.3877787807814457E-17</v>
      </c>
      <c r="AB90">
        <f t="shared" si="24"/>
        <v>3.461341286004456E-2</v>
      </c>
      <c r="AC90">
        <f t="shared" si="25"/>
        <v>3.9541554249685189E-2</v>
      </c>
      <c r="AD90">
        <f t="shared" si="26"/>
        <v>3.6958484780130564E-2</v>
      </c>
    </row>
    <row r="91" spans="1:30" x14ac:dyDescent="0.3">
      <c r="A91" s="1">
        <v>43956</v>
      </c>
      <c r="B91">
        <v>144.429993</v>
      </c>
      <c r="C91">
        <v>144.820007</v>
      </c>
      <c r="D91">
        <v>144.820007</v>
      </c>
      <c r="E91">
        <f t="shared" si="27"/>
        <v>1.0096207820744454</v>
      </c>
      <c r="F91">
        <f t="shared" si="19"/>
        <v>1.3538395911093362</v>
      </c>
      <c r="G91">
        <f t="shared" si="20"/>
        <v>9.6207820744453887E-3</v>
      </c>
      <c r="J91">
        <v>46.259998000000003</v>
      </c>
      <c r="K91">
        <v>44.830002</v>
      </c>
      <c r="L91">
        <v>40.812786000000003</v>
      </c>
      <c r="M91">
        <f t="shared" si="28"/>
        <v>0.99888597918518551</v>
      </c>
      <c r="N91">
        <f t="shared" si="21"/>
        <v>1.2190318064139904</v>
      </c>
      <c r="O91">
        <f t="shared" si="15"/>
        <v>-1.114020814814487E-3</v>
      </c>
      <c r="R91">
        <f t="shared" si="16"/>
        <v>2.5728713975233264</v>
      </c>
      <c r="S91">
        <f t="shared" si="29"/>
        <v>4.5059939524647596E-3</v>
      </c>
      <c r="W91">
        <f t="shared" si="17"/>
        <v>0.52619792517129171</v>
      </c>
      <c r="X91">
        <f t="shared" si="18"/>
        <v>0.47380207482870834</v>
      </c>
      <c r="Y91">
        <f t="shared" si="22"/>
        <v>4.5059939524649669E-3</v>
      </c>
      <c r="Z91">
        <f t="shared" si="23"/>
        <v>2.0729945537922845E-16</v>
      </c>
      <c r="AB91">
        <f t="shared" si="24"/>
        <v>9.574797056549374E-3</v>
      </c>
      <c r="AC91">
        <f t="shared" si="25"/>
        <v>-1.11464179723681E-3</v>
      </c>
      <c r="AD91">
        <f t="shared" si="26"/>
        <v>4.4958723555614324E-3</v>
      </c>
    </row>
    <row r="92" spans="1:30" x14ac:dyDescent="0.3">
      <c r="A92" s="1">
        <v>43957</v>
      </c>
      <c r="B92">
        <v>145.470001</v>
      </c>
      <c r="C92">
        <v>149.58999600000001</v>
      </c>
      <c r="D92">
        <v>149.58999600000001</v>
      </c>
      <c r="E92">
        <f t="shared" si="27"/>
        <v>1.032937362031753</v>
      </c>
      <c r="F92">
        <f t="shared" si="19"/>
        <v>1.3984314958546249</v>
      </c>
      <c r="G92">
        <f t="shared" si="20"/>
        <v>3.2937362031753015E-2</v>
      </c>
      <c r="J92">
        <v>44.93</v>
      </c>
      <c r="K92">
        <v>43.990001999999997</v>
      </c>
      <c r="L92">
        <v>40.048060999999997</v>
      </c>
      <c r="M92">
        <f t="shared" si="28"/>
        <v>0.98126261216276667</v>
      </c>
      <c r="N92">
        <f t="shared" si="21"/>
        <v>1.1961903346712883</v>
      </c>
      <c r="O92">
        <f t="shared" si="15"/>
        <v>-1.8737387837233332E-2</v>
      </c>
      <c r="R92">
        <f t="shared" si="16"/>
        <v>2.594621830525913</v>
      </c>
      <c r="S92">
        <f t="shared" si="29"/>
        <v>8.4537583275727801E-3</v>
      </c>
      <c r="W92">
        <f t="shared" si="17"/>
        <v>0.53897314799481666</v>
      </c>
      <c r="X92">
        <f t="shared" si="18"/>
        <v>0.46102685200518345</v>
      </c>
      <c r="Y92">
        <f t="shared" si="22"/>
        <v>8.4537583275727628E-3</v>
      </c>
      <c r="Z92">
        <f t="shared" si="23"/>
        <v>1.7347234759768071E-17</v>
      </c>
      <c r="AB92">
        <f t="shared" si="24"/>
        <v>3.2406551350075162E-2</v>
      </c>
      <c r="AC92">
        <f t="shared" si="25"/>
        <v>-1.8915156808612579E-2</v>
      </c>
      <c r="AD92">
        <f t="shared" si="26"/>
        <v>8.4182254298838834E-3</v>
      </c>
    </row>
    <row r="93" spans="1:30" x14ac:dyDescent="0.3">
      <c r="A93" s="1">
        <v>43958</v>
      </c>
      <c r="B93">
        <v>154.83999600000001</v>
      </c>
      <c r="C93">
        <v>157.800003</v>
      </c>
      <c r="D93">
        <v>157.800003</v>
      </c>
      <c r="E93">
        <f t="shared" si="27"/>
        <v>1.0548833960795079</v>
      </c>
      <c r="F93">
        <f t="shared" si="19"/>
        <v>1.475182165531673</v>
      </c>
      <c r="G93">
        <f t="shared" si="20"/>
        <v>5.4883396079507873E-2</v>
      </c>
      <c r="J93">
        <v>44.959999000000003</v>
      </c>
      <c r="K93">
        <v>44.240001999999997</v>
      </c>
      <c r="L93">
        <v>40.275654000000003</v>
      </c>
      <c r="M93">
        <f t="shared" si="28"/>
        <v>1.0056829967373453</v>
      </c>
      <c r="N93">
        <f t="shared" si="21"/>
        <v>1.2029882804404692</v>
      </c>
      <c r="O93">
        <f t="shared" si="15"/>
        <v>5.6829967373452916E-3</v>
      </c>
      <c r="R93">
        <f t="shared" si="16"/>
        <v>2.6781704459721425</v>
      </c>
      <c r="S93">
        <f t="shared" si="29"/>
        <v>3.2200690853392944E-2</v>
      </c>
      <c r="W93">
        <f t="shared" si="17"/>
        <v>0.55081713255042675</v>
      </c>
      <c r="X93">
        <f t="shared" si="18"/>
        <v>0.4491828674495732</v>
      </c>
      <c r="Y93">
        <f t="shared" si="22"/>
        <v>3.220069085339277E-2</v>
      </c>
      <c r="Z93">
        <f t="shared" si="23"/>
        <v>1.7347234759768071E-16</v>
      </c>
      <c r="AB93">
        <f t="shared" si="24"/>
        <v>5.3430235776566651E-2</v>
      </c>
      <c r="AC93">
        <f t="shared" si="25"/>
        <v>5.6669094320119968E-3</v>
      </c>
      <c r="AD93">
        <f t="shared" si="26"/>
        <v>3.1693116034138387E-2</v>
      </c>
    </row>
    <row r="94" spans="1:30" x14ac:dyDescent="0.3">
      <c r="A94" s="1">
        <v>43959</v>
      </c>
      <c r="B94">
        <v>160</v>
      </c>
      <c r="C94">
        <v>155.39999399999999</v>
      </c>
      <c r="D94">
        <v>155.39999399999999</v>
      </c>
      <c r="E94">
        <f t="shared" si="27"/>
        <v>0.98479081777964217</v>
      </c>
      <c r="F94">
        <f t="shared" si="19"/>
        <v>1.4527458511678797</v>
      </c>
      <c r="G94">
        <f t="shared" si="20"/>
        <v>-1.5209182220357831E-2</v>
      </c>
      <c r="J94">
        <v>45.310001</v>
      </c>
      <c r="K94">
        <v>46.18</v>
      </c>
      <c r="L94">
        <v>42.041812999999998</v>
      </c>
      <c r="M94">
        <f t="shared" si="28"/>
        <v>1.0438517770561837</v>
      </c>
      <c r="N94">
        <f t="shared" si="21"/>
        <v>1.2557414543155465</v>
      </c>
      <c r="O94">
        <f t="shared" si="15"/>
        <v>4.3851777056183705E-2</v>
      </c>
      <c r="R94">
        <f t="shared" si="16"/>
        <v>2.708487305483426</v>
      </c>
      <c r="S94">
        <f t="shared" si="29"/>
        <v>1.1319988821801408E-2</v>
      </c>
      <c r="W94">
        <f t="shared" si="17"/>
        <v>0.53636797493078359</v>
      </c>
      <c r="X94">
        <f t="shared" si="18"/>
        <v>0.46363202506921652</v>
      </c>
      <c r="Y94">
        <f t="shared" si="22"/>
        <v>1.1319988821801566E-2</v>
      </c>
      <c r="Z94">
        <f t="shared" si="23"/>
        <v>1.5785983631388945E-16</v>
      </c>
      <c r="AB94">
        <f t="shared" si="24"/>
        <v>-1.53260280996729E-2</v>
      </c>
      <c r="AC94">
        <f t="shared" si="25"/>
        <v>4.2917503381076631E-2</v>
      </c>
      <c r="AD94">
        <f t="shared" si="26"/>
        <v>1.1256397202621482E-2</v>
      </c>
    </row>
    <row r="95" spans="1:30" x14ac:dyDescent="0.3">
      <c r="A95" s="1">
        <v>43962</v>
      </c>
      <c r="B95">
        <v>159.429993</v>
      </c>
      <c r="C95">
        <v>166.479996</v>
      </c>
      <c r="D95">
        <v>166.479996</v>
      </c>
      <c r="E95">
        <f t="shared" si="27"/>
        <v>1.0712998869227757</v>
      </c>
      <c r="F95">
        <f t="shared" si="19"/>
        <v>1.5563264660836811</v>
      </c>
      <c r="G95">
        <f t="shared" si="20"/>
        <v>7.1299886922775668E-2</v>
      </c>
      <c r="J95">
        <v>46.110000999999997</v>
      </c>
      <c r="K95">
        <v>45.740001999999997</v>
      </c>
      <c r="L95">
        <v>41.641238999999999</v>
      </c>
      <c r="M95">
        <f t="shared" si="28"/>
        <v>0.99047200937790192</v>
      </c>
      <c r="N95">
        <f t="shared" si="21"/>
        <v>1.2437767615150481</v>
      </c>
      <c r="O95">
        <f t="shared" si="15"/>
        <v>-9.5279906220980815E-3</v>
      </c>
      <c r="R95">
        <f t="shared" si="16"/>
        <v>2.8001032275987292</v>
      </c>
      <c r="S95">
        <f t="shared" si="29"/>
        <v>3.3825494374599252E-2</v>
      </c>
      <c r="W95">
        <f t="shared" si="17"/>
        <v>0.55581038968278762</v>
      </c>
      <c r="X95">
        <f t="shared" si="18"/>
        <v>0.44418961031721238</v>
      </c>
      <c r="Y95">
        <f t="shared" si="22"/>
        <v>3.3825494374599203E-2</v>
      </c>
      <c r="Z95">
        <f t="shared" si="23"/>
        <v>4.8572257327350599E-17</v>
      </c>
      <c r="AB95">
        <f t="shared" si="24"/>
        <v>6.8872758734960945E-2</v>
      </c>
      <c r="AC95">
        <f t="shared" si="25"/>
        <v>-9.5736723262171402E-3</v>
      </c>
      <c r="AD95">
        <f t="shared" si="26"/>
        <v>3.3265994313994282E-2</v>
      </c>
    </row>
    <row r="96" spans="1:30" x14ac:dyDescent="0.3">
      <c r="A96" s="1">
        <v>43963</v>
      </c>
      <c r="B96">
        <v>168</v>
      </c>
      <c r="C96">
        <v>161.03999300000001</v>
      </c>
      <c r="D96">
        <v>161.03999300000001</v>
      </c>
      <c r="E96">
        <f t="shared" si="27"/>
        <v>0.9673233834051751</v>
      </c>
      <c r="F96">
        <f t="shared" si="19"/>
        <v>1.5054709828550858</v>
      </c>
      <c r="G96">
        <f t="shared" si="20"/>
        <v>-3.2676616594824903E-2</v>
      </c>
      <c r="J96">
        <v>45.419998</v>
      </c>
      <c r="K96">
        <v>44.119999</v>
      </c>
      <c r="L96">
        <v>40.945210000000003</v>
      </c>
      <c r="M96">
        <f t="shared" si="28"/>
        <v>0.98328510350040266</v>
      </c>
      <c r="N96">
        <f t="shared" si="21"/>
        <v>1.2229871616777197</v>
      </c>
      <c r="O96">
        <f t="shared" si="15"/>
        <v>-1.6714896499597343E-2</v>
      </c>
      <c r="R96">
        <f t="shared" si="16"/>
        <v>2.7284581445328056</v>
      </c>
      <c r="S96">
        <f t="shared" si="29"/>
        <v>-2.558658636573341E-2</v>
      </c>
      <c r="W96">
        <f t="shared" si="17"/>
        <v>0.55176620021520173</v>
      </c>
      <c r="X96">
        <f t="shared" si="18"/>
        <v>0.44823379978479827</v>
      </c>
      <c r="Y96">
        <f t="shared" si="22"/>
        <v>-2.5586586365733355E-2</v>
      </c>
      <c r="Z96">
        <f t="shared" si="23"/>
        <v>5.5511151231257827E-17</v>
      </c>
      <c r="AB96">
        <f t="shared" si="24"/>
        <v>-3.3222420194394857E-2</v>
      </c>
      <c r="AC96">
        <f t="shared" si="25"/>
        <v>-1.6856166806964893E-2</v>
      </c>
      <c r="AD96">
        <f t="shared" si="26"/>
        <v>-2.5919616076236524E-2</v>
      </c>
    </row>
    <row r="97" spans="1:30" x14ac:dyDescent="0.3">
      <c r="A97" s="1">
        <v>43964</v>
      </c>
      <c r="B97">
        <v>163.61000100000001</v>
      </c>
      <c r="C97">
        <v>167.13999899999999</v>
      </c>
      <c r="D97">
        <v>167.13999899999999</v>
      </c>
      <c r="E97">
        <f t="shared" si="27"/>
        <v>1.0378788267831083</v>
      </c>
      <c r="F97">
        <f t="shared" si="19"/>
        <v>1.5624964574416493</v>
      </c>
      <c r="G97">
        <f t="shared" si="20"/>
        <v>3.7878826783108277E-2</v>
      </c>
      <c r="J97">
        <v>43.740001999999997</v>
      </c>
      <c r="K97">
        <v>41.93</v>
      </c>
      <c r="L97">
        <v>38.912796</v>
      </c>
      <c r="M97">
        <f t="shared" si="28"/>
        <v>0.95036259430590286</v>
      </c>
      <c r="N97">
        <f t="shared" si="21"/>
        <v>1.1622812517748504</v>
      </c>
      <c r="O97">
        <f t="shared" si="15"/>
        <v>-4.9637405694097136E-2</v>
      </c>
      <c r="R97">
        <f t="shared" si="16"/>
        <v>2.7247777092164998</v>
      </c>
      <c r="S97">
        <f t="shared" si="29"/>
        <v>-1.348906642999248E-3</v>
      </c>
      <c r="W97">
        <f t="shared" si="17"/>
        <v>0.57343997352757992</v>
      </c>
      <c r="X97">
        <f t="shared" si="18"/>
        <v>0.42656002647242014</v>
      </c>
      <c r="Y97">
        <f t="shared" si="22"/>
        <v>-1.3489066429992758E-3</v>
      </c>
      <c r="Z97">
        <f t="shared" si="23"/>
        <v>2.7755575615628914E-17</v>
      </c>
      <c r="AB97">
        <f t="shared" si="24"/>
        <v>3.7179040726208049E-2</v>
      </c>
      <c r="AC97">
        <f t="shared" si="25"/>
        <v>-5.0911688991412477E-2</v>
      </c>
      <c r="AD97">
        <f t="shared" si="26"/>
        <v>-1.3498172365275659E-3</v>
      </c>
    </row>
    <row r="98" spans="1:30" x14ac:dyDescent="0.3">
      <c r="A98" s="1">
        <v>43965</v>
      </c>
      <c r="B98">
        <v>168.259995</v>
      </c>
      <c r="C98">
        <v>167.91000399999999</v>
      </c>
      <c r="D98">
        <v>167.91000399999999</v>
      </c>
      <c r="E98">
        <f t="shared" si="27"/>
        <v>1.0046069463001492</v>
      </c>
      <c r="F98">
        <f t="shared" si="19"/>
        <v>1.5696947947152564</v>
      </c>
      <c r="G98">
        <f t="shared" si="20"/>
        <v>4.6069463001492394E-3</v>
      </c>
      <c r="J98">
        <v>41.07</v>
      </c>
      <c r="K98">
        <v>42.299999</v>
      </c>
      <c r="L98">
        <v>39.256171999999999</v>
      </c>
      <c r="M98">
        <f t="shared" si="28"/>
        <v>1.0088242438297161</v>
      </c>
      <c r="N98">
        <f t="shared" si="21"/>
        <v>1.1725375049392195</v>
      </c>
      <c r="O98">
        <f t="shared" si="15"/>
        <v>8.8242438297161385E-3</v>
      </c>
      <c r="R98">
        <f t="shared" si="16"/>
        <v>2.7422322996544759</v>
      </c>
      <c r="S98">
        <f t="shared" si="29"/>
        <v>6.4058768460033555E-3</v>
      </c>
      <c r="W98">
        <f t="shared" si="17"/>
        <v>0.5724149609473419</v>
      </c>
      <c r="X98">
        <f t="shared" si="18"/>
        <v>0.4275850390526581</v>
      </c>
      <c r="Y98">
        <f t="shared" si="22"/>
        <v>6.4058768460033676E-3</v>
      </c>
      <c r="Z98">
        <f t="shared" si="23"/>
        <v>1.214306433183765E-17</v>
      </c>
      <c r="AB98">
        <f t="shared" si="24"/>
        <v>4.5963668033815212E-3</v>
      </c>
      <c r="AC98">
        <f t="shared" si="25"/>
        <v>8.7855377248800114E-3</v>
      </c>
      <c r="AD98">
        <f t="shared" si="26"/>
        <v>6.3854464203631309E-3</v>
      </c>
    </row>
    <row r="99" spans="1:30" x14ac:dyDescent="0.3">
      <c r="A99" s="1">
        <v>43966</v>
      </c>
      <c r="B99">
        <v>166.75</v>
      </c>
      <c r="C99">
        <v>174.83000200000001</v>
      </c>
      <c r="D99">
        <v>174.83000200000001</v>
      </c>
      <c r="E99">
        <f t="shared" si="27"/>
        <v>1.0412125414516697</v>
      </c>
      <c r="F99">
        <f t="shared" si="19"/>
        <v>1.6343859065089292</v>
      </c>
      <c r="G99">
        <f t="shared" si="20"/>
        <v>4.1212541451669749E-2</v>
      </c>
      <c r="J99">
        <v>42.380001</v>
      </c>
      <c r="K99">
        <v>42</v>
      </c>
      <c r="L99">
        <v>38.977760000000004</v>
      </c>
      <c r="M99">
        <f t="shared" si="28"/>
        <v>0.99290781587160371</v>
      </c>
      <c r="N99">
        <f t="shared" si="21"/>
        <v>1.1642216530567402</v>
      </c>
      <c r="O99">
        <f t="shared" si="15"/>
        <v>-7.092184128396295E-3</v>
      </c>
      <c r="R99">
        <f t="shared" si="16"/>
        <v>2.7986075595656694</v>
      </c>
      <c r="S99">
        <f t="shared" si="29"/>
        <v>2.0558163478089364E-2</v>
      </c>
      <c r="W99">
        <f t="shared" si="17"/>
        <v>0.58399967545380971</v>
      </c>
      <c r="X99">
        <f t="shared" si="18"/>
        <v>0.41600032454619035</v>
      </c>
      <c r="Y99">
        <f t="shared" si="22"/>
        <v>2.0558163478089277E-2</v>
      </c>
      <c r="Z99">
        <f t="shared" si="23"/>
        <v>8.6736173798840355E-17</v>
      </c>
      <c r="AB99">
        <f t="shared" si="24"/>
        <v>4.0385939255578554E-2</v>
      </c>
      <c r="AC99">
        <f t="shared" si="25"/>
        <v>-7.1174532124632112E-3</v>
      </c>
      <c r="AD99">
        <f t="shared" si="26"/>
        <v>2.0349696722575101E-2</v>
      </c>
    </row>
    <row r="100" spans="1:30" x14ac:dyDescent="0.3">
      <c r="A100" s="1">
        <v>43969</v>
      </c>
      <c r="B100">
        <v>170.029999</v>
      </c>
      <c r="C100">
        <v>164.69000199999999</v>
      </c>
      <c r="D100">
        <v>164.69000199999999</v>
      </c>
      <c r="E100">
        <f t="shared" si="27"/>
        <v>0.94200080144139098</v>
      </c>
      <c r="F100">
        <f t="shared" si="19"/>
        <v>1.5395928337959257</v>
      </c>
      <c r="G100">
        <f t="shared" si="20"/>
        <v>-5.7999198558609022E-2</v>
      </c>
      <c r="J100">
        <v>44.400002000000001</v>
      </c>
      <c r="K100">
        <v>45.34</v>
      </c>
      <c r="L100">
        <v>42.077418999999999</v>
      </c>
      <c r="M100">
        <f t="shared" si="28"/>
        <v>1.0795237848455117</v>
      </c>
      <c r="N100">
        <f t="shared" si="21"/>
        <v>1.2568049653069104</v>
      </c>
      <c r="O100">
        <f t="shared" si="15"/>
        <v>7.9523784845511702E-2</v>
      </c>
      <c r="R100">
        <f t="shared" si="16"/>
        <v>2.7963977991028361</v>
      </c>
      <c r="S100">
        <f t="shared" si="29"/>
        <v>-7.8959282993440461E-4</v>
      </c>
      <c r="W100">
        <f t="shared" si="17"/>
        <v>0.55056288282370658</v>
      </c>
      <c r="X100">
        <f t="shared" si="18"/>
        <v>0.44943711717629342</v>
      </c>
      <c r="Y100">
        <f t="shared" si="22"/>
        <v>-7.8959282993446012E-4</v>
      </c>
      <c r="Z100">
        <f t="shared" si="23"/>
        <v>5.5511151231257827E-17</v>
      </c>
      <c r="AB100">
        <f t="shared" si="24"/>
        <v>-5.9749153619096655E-2</v>
      </c>
      <c r="AC100">
        <f t="shared" si="25"/>
        <v>7.6520003935659081E-2</v>
      </c>
      <c r="AD100">
        <f t="shared" si="26"/>
        <v>-7.8990472254253201E-4</v>
      </c>
    </row>
    <row r="101" spans="1:30" x14ac:dyDescent="0.3">
      <c r="A101" s="1">
        <v>43970</v>
      </c>
      <c r="B101">
        <v>167</v>
      </c>
      <c r="C101">
        <v>173.679993</v>
      </c>
      <c r="D101">
        <v>173.679993</v>
      </c>
      <c r="E101">
        <f t="shared" si="27"/>
        <v>1.0545873513317463</v>
      </c>
      <c r="F101">
        <f t="shared" si="19"/>
        <v>1.6236351287221829</v>
      </c>
      <c r="G101">
        <f t="shared" si="20"/>
        <v>5.4587351331746303E-2</v>
      </c>
      <c r="J101">
        <v>45.549999</v>
      </c>
      <c r="K101">
        <v>43.939999</v>
      </c>
      <c r="L101">
        <v>40.77816</v>
      </c>
      <c r="M101">
        <f t="shared" si="28"/>
        <v>0.96912217928575894</v>
      </c>
      <c r="N101">
        <f t="shared" si="21"/>
        <v>1.2179975669153957</v>
      </c>
      <c r="O101">
        <f t="shared" si="15"/>
        <v>-3.0877820714241055E-2</v>
      </c>
      <c r="R101">
        <f t="shared" si="16"/>
        <v>2.8416326956375784</v>
      </c>
      <c r="S101">
        <f t="shared" si="29"/>
        <v>1.6176130788421839E-2</v>
      </c>
      <c r="W101">
        <f t="shared" si="17"/>
        <v>0.57137403127953779</v>
      </c>
      <c r="X101">
        <f t="shared" si="18"/>
        <v>0.42862596872046232</v>
      </c>
      <c r="Y101">
        <f t="shared" si="22"/>
        <v>1.6176130788421804E-2</v>
      </c>
      <c r="Z101">
        <f t="shared" si="23"/>
        <v>3.4694469519536142E-17</v>
      </c>
      <c r="AB101">
        <f t="shared" si="24"/>
        <v>5.3149554235883086E-2</v>
      </c>
      <c r="AC101">
        <f t="shared" si="25"/>
        <v>-3.1364587025597239E-2</v>
      </c>
      <c r="AD101">
        <f t="shared" si="26"/>
        <v>1.6046691206907118E-2</v>
      </c>
    </row>
    <row r="102" spans="1:30" x14ac:dyDescent="0.3">
      <c r="A102" s="1">
        <v>43971</v>
      </c>
      <c r="B102">
        <v>173.529999</v>
      </c>
      <c r="C102">
        <v>175.479996</v>
      </c>
      <c r="D102">
        <v>175.479996</v>
      </c>
      <c r="E102">
        <f t="shared" si="27"/>
        <v>1.0103639053002496</v>
      </c>
      <c r="F102">
        <f t="shared" si="19"/>
        <v>1.640462329438418</v>
      </c>
      <c r="G102">
        <f t="shared" si="20"/>
        <v>1.0363905300249554E-2</v>
      </c>
      <c r="J102">
        <v>44.619999</v>
      </c>
      <c r="K102">
        <v>45.369999</v>
      </c>
      <c r="L102">
        <v>42.105263000000001</v>
      </c>
      <c r="M102">
        <f t="shared" si="28"/>
        <v>1.0325444551691396</v>
      </c>
      <c r="N102">
        <f t="shared" si="21"/>
        <v>1.257636634127995</v>
      </c>
      <c r="O102">
        <f t="shared" si="15"/>
        <v>3.2544455169139619E-2</v>
      </c>
      <c r="R102">
        <f t="shared" si="16"/>
        <v>2.8980989635664129</v>
      </c>
      <c r="S102">
        <f t="shared" si="29"/>
        <v>1.9871064974555042E-2</v>
      </c>
      <c r="W102">
        <f t="shared" si="17"/>
        <v>0.56604772647917379</v>
      </c>
      <c r="X102">
        <f t="shared" si="18"/>
        <v>0.43395227352082621</v>
      </c>
      <c r="Y102">
        <f t="shared" si="22"/>
        <v>1.9871064974555083E-2</v>
      </c>
      <c r="Z102">
        <f t="shared" si="23"/>
        <v>4.163336342344337E-17</v>
      </c>
      <c r="AB102">
        <f t="shared" si="24"/>
        <v>1.0310568237364308E-2</v>
      </c>
      <c r="AC102">
        <f t="shared" si="25"/>
        <v>3.202610078006235E-2</v>
      </c>
      <c r="AD102">
        <f t="shared" si="26"/>
        <v>1.9676212418464612E-2</v>
      </c>
    </row>
    <row r="103" spans="1:30" x14ac:dyDescent="0.3">
      <c r="A103" s="1">
        <v>43972</v>
      </c>
      <c r="B103">
        <v>175.96000699999999</v>
      </c>
      <c r="C103">
        <v>172.029999</v>
      </c>
      <c r="D103">
        <v>172.029999</v>
      </c>
      <c r="E103">
        <f t="shared" si="27"/>
        <v>0.98033965649281185</v>
      </c>
      <c r="F103">
        <f t="shared" si="19"/>
        <v>1.6082102765310566</v>
      </c>
      <c r="G103">
        <f t="shared" si="20"/>
        <v>-1.9660343507188149E-2</v>
      </c>
      <c r="J103">
        <v>45.439999</v>
      </c>
      <c r="K103">
        <v>44.560001</v>
      </c>
      <c r="L103">
        <v>41.353546000000001</v>
      </c>
      <c r="M103">
        <f t="shared" si="28"/>
        <v>0.98214672118305024</v>
      </c>
      <c r="N103">
        <f t="shared" si="21"/>
        <v>1.2351836966484977</v>
      </c>
      <c r="O103">
        <f t="shared" si="15"/>
        <v>-1.7853278816949758E-2</v>
      </c>
      <c r="R103">
        <f t="shared" si="16"/>
        <v>2.8433939731795546</v>
      </c>
      <c r="S103">
        <f t="shared" si="29"/>
        <v>-1.8876163676459945E-2</v>
      </c>
      <c r="W103">
        <f t="shared" si="17"/>
        <v>0.56559530325398966</v>
      </c>
      <c r="X103">
        <f t="shared" si="18"/>
        <v>0.43440469674601029</v>
      </c>
      <c r="Y103">
        <f t="shared" si="22"/>
        <v>-1.887616367645999E-2</v>
      </c>
      <c r="Z103">
        <f t="shared" si="23"/>
        <v>4.5102810375396984E-17</v>
      </c>
      <c r="AB103">
        <f t="shared" si="24"/>
        <v>-1.985617910738427E-2</v>
      </c>
      <c r="AC103">
        <f t="shared" si="25"/>
        <v>-1.8014571214948299E-2</v>
      </c>
      <c r="AD103">
        <f t="shared" si="26"/>
        <v>-1.9056592599269406E-2</v>
      </c>
    </row>
    <row r="104" spans="1:30" x14ac:dyDescent="0.3">
      <c r="A104" s="1">
        <v>43973</v>
      </c>
      <c r="B104">
        <v>171.86000100000001</v>
      </c>
      <c r="C104">
        <v>171.05999800000001</v>
      </c>
      <c r="D104">
        <v>171.05999800000001</v>
      </c>
      <c r="E104">
        <f t="shared" si="27"/>
        <v>0.99436144273883298</v>
      </c>
      <c r="F104">
        <f t="shared" si="19"/>
        <v>1.5991422907988391</v>
      </c>
      <c r="G104">
        <f t="shared" si="20"/>
        <v>-5.6385572611670209E-3</v>
      </c>
      <c r="J104">
        <v>44.049999</v>
      </c>
      <c r="K104">
        <v>44.599997999999999</v>
      </c>
      <c r="L104">
        <v>41.390667000000001</v>
      </c>
      <c r="M104">
        <f t="shared" si="28"/>
        <v>1.0008976497444741</v>
      </c>
      <c r="N104">
        <f t="shared" si="21"/>
        <v>1.2362924589781727</v>
      </c>
      <c r="O104">
        <f t="shared" si="15"/>
        <v>8.9764974447414936E-4</v>
      </c>
      <c r="R104">
        <f t="shared" si="16"/>
        <v>2.8354347497770118</v>
      </c>
      <c r="S104">
        <f t="shared" si="29"/>
        <v>-2.7991982390124237E-3</v>
      </c>
      <c r="W104">
        <f t="shared" si="17"/>
        <v>0.56398486719703245</v>
      </c>
      <c r="X104">
        <f t="shared" si="18"/>
        <v>0.4360151328029675</v>
      </c>
      <c r="Y104">
        <f t="shared" si="22"/>
        <v>-2.7991982390123201E-3</v>
      </c>
      <c r="Z104">
        <f t="shared" si="23"/>
        <v>1.0364972768961422E-16</v>
      </c>
      <c r="AB104">
        <f t="shared" si="24"/>
        <v>-5.6545139351767606E-3</v>
      </c>
      <c r="AC104">
        <f t="shared" si="25"/>
        <v>8.9724709788133021E-4</v>
      </c>
      <c r="AD104">
        <f t="shared" si="26"/>
        <v>-2.8031233208356547E-3</v>
      </c>
    </row>
    <row r="105" spans="1:30" x14ac:dyDescent="0.3">
      <c r="A105" s="1">
        <v>43977</v>
      </c>
      <c r="B105">
        <v>169.10000600000001</v>
      </c>
      <c r="C105">
        <v>164</v>
      </c>
      <c r="D105">
        <v>164</v>
      </c>
      <c r="E105">
        <f t="shared" si="27"/>
        <v>0.95872794292912356</v>
      </c>
      <c r="F105">
        <f t="shared" si="19"/>
        <v>1.5331423989085373</v>
      </c>
      <c r="G105">
        <f t="shared" si="20"/>
        <v>-4.1272057070876444E-2</v>
      </c>
      <c r="J105">
        <v>45.740001999999997</v>
      </c>
      <c r="K105">
        <v>45.91</v>
      </c>
      <c r="L105">
        <v>42.606403</v>
      </c>
      <c r="M105">
        <f t="shared" si="28"/>
        <v>1.0293722253859789</v>
      </c>
      <c r="N105">
        <f t="shared" si="21"/>
        <v>1.2726051197262658</v>
      </c>
      <c r="O105">
        <f t="shared" si="15"/>
        <v>2.9372225385978945E-2</v>
      </c>
      <c r="R105">
        <f t="shared" si="16"/>
        <v>2.8057475186348029</v>
      </c>
      <c r="S105">
        <f t="shared" si="29"/>
        <v>-1.0470080873680399E-2</v>
      </c>
      <c r="W105">
        <f t="shared" si="17"/>
        <v>0.54642920958708396</v>
      </c>
      <c r="X105">
        <f t="shared" si="18"/>
        <v>0.45357079041291615</v>
      </c>
      <c r="Y105">
        <f t="shared" si="22"/>
        <v>-1.0470080873680294E-2</v>
      </c>
      <c r="Z105">
        <f t="shared" si="23"/>
        <v>1.0408340855860843E-16</v>
      </c>
      <c r="AB105">
        <f t="shared" si="24"/>
        <v>-4.2147932636633155E-2</v>
      </c>
      <c r="AC105">
        <f t="shared" si="25"/>
        <v>2.8949126510534728E-2</v>
      </c>
      <c r="AD105">
        <f t="shared" si="26"/>
        <v>-1.0525277785901444E-2</v>
      </c>
    </row>
    <row r="106" spans="1:30" x14ac:dyDescent="0.3">
      <c r="A106" s="1">
        <v>43978</v>
      </c>
      <c r="B106">
        <v>158.009995</v>
      </c>
      <c r="C106">
        <v>161.970001</v>
      </c>
      <c r="D106">
        <v>161.970001</v>
      </c>
      <c r="E106">
        <f t="shared" si="27"/>
        <v>0.98762195731707314</v>
      </c>
      <c r="F106">
        <f t="shared" si="19"/>
        <v>1.5141650968558427</v>
      </c>
      <c r="G106">
        <f t="shared" si="20"/>
        <v>-1.237804268292686E-2</v>
      </c>
      <c r="J106">
        <v>46.66</v>
      </c>
      <c r="K106">
        <v>46.240001999999997</v>
      </c>
      <c r="L106">
        <v>42.912658999999998</v>
      </c>
      <c r="M106">
        <f t="shared" si="28"/>
        <v>1.0071880275835534</v>
      </c>
      <c r="N106">
        <f t="shared" si="21"/>
        <v>1.2817526404298294</v>
      </c>
      <c r="O106">
        <f t="shared" si="15"/>
        <v>7.1880275835534135E-3</v>
      </c>
      <c r="R106">
        <f t="shared" si="16"/>
        <v>2.7959177372856718</v>
      </c>
      <c r="S106">
        <f t="shared" si="29"/>
        <v>-3.5034447268846858E-3</v>
      </c>
      <c r="W106">
        <f t="shared" si="17"/>
        <v>0.54156282091683494</v>
      </c>
      <c r="X106">
        <f t="shared" si="18"/>
        <v>0.45843717908316511</v>
      </c>
      <c r="Y106">
        <f t="shared" si="22"/>
        <v>-3.5034447268847465E-3</v>
      </c>
      <c r="Z106">
        <f t="shared" si="23"/>
        <v>6.0715321659188248E-17</v>
      </c>
      <c r="AB106">
        <f t="shared" si="24"/>
        <v>-1.2455288751910333E-2</v>
      </c>
      <c r="AC106">
        <f t="shared" si="25"/>
        <v>7.1623168460899162E-3</v>
      </c>
      <c r="AD106">
        <f t="shared" si="26"/>
        <v>-3.5095961610373768E-3</v>
      </c>
    </row>
    <row r="107" spans="1:30" x14ac:dyDescent="0.3">
      <c r="A107" s="1">
        <v>43979</v>
      </c>
      <c r="B107">
        <v>159.229996</v>
      </c>
      <c r="C107">
        <v>163.550003</v>
      </c>
      <c r="D107">
        <v>163.550003</v>
      </c>
      <c r="E107">
        <f t="shared" si="27"/>
        <v>1.0097549051691368</v>
      </c>
      <c r="F107">
        <f t="shared" si="19"/>
        <v>1.5289356337860882</v>
      </c>
      <c r="G107">
        <f t="shared" si="20"/>
        <v>9.7549051691367961E-3</v>
      </c>
      <c r="J107">
        <v>46.43</v>
      </c>
      <c r="K107">
        <v>45.040000999999997</v>
      </c>
      <c r="L107">
        <v>41.799011</v>
      </c>
      <c r="M107">
        <f t="shared" si="28"/>
        <v>0.9740484969714881</v>
      </c>
      <c r="N107">
        <f t="shared" si="21"/>
        <v>1.2484892328999115</v>
      </c>
      <c r="O107">
        <f t="shared" si="15"/>
        <v>-2.5951503028511902E-2</v>
      </c>
      <c r="R107">
        <f t="shared" si="16"/>
        <v>2.7774248666859997</v>
      </c>
      <c r="S107">
        <f t="shared" si="29"/>
        <v>-6.6142398801851687E-3</v>
      </c>
      <c r="W107">
        <f t="shared" si="17"/>
        <v>0.55048676640185823</v>
      </c>
      <c r="X107">
        <f t="shared" si="18"/>
        <v>0.44951323359814177</v>
      </c>
      <c r="Y107">
        <f t="shared" si="22"/>
        <v>-6.6142398801852737E-3</v>
      </c>
      <c r="Z107">
        <f t="shared" si="23"/>
        <v>1.0495077029659683E-16</v>
      </c>
      <c r="AB107">
        <f t="shared" si="24"/>
        <v>9.707633255118947E-3</v>
      </c>
      <c r="AC107">
        <f t="shared" si="25"/>
        <v>-2.6294185027324293E-2</v>
      </c>
      <c r="AD107">
        <f t="shared" si="26"/>
        <v>-6.6362108994313506E-3</v>
      </c>
    </row>
    <row r="108" spans="1:30" s="6" customFormat="1" x14ac:dyDescent="0.3">
      <c r="A108" s="5">
        <v>43980</v>
      </c>
      <c r="B108" s="6">
        <v>168</v>
      </c>
      <c r="C108" s="6">
        <v>179.479996</v>
      </c>
      <c r="D108" s="6">
        <v>179.479996</v>
      </c>
      <c r="E108" s="6">
        <f t="shared" si="27"/>
        <v>1.0974013617107667</v>
      </c>
      <c r="F108" s="6">
        <f t="shared" si="19"/>
        <v>1.6778560464849674</v>
      </c>
      <c r="G108" s="6">
        <f t="shared" si="20"/>
        <v>9.7401361710766743E-2</v>
      </c>
      <c r="H108" s="7">
        <f>0.5*R108</f>
        <v>1.4691322558824873</v>
      </c>
      <c r="J108" s="6">
        <v>44.82</v>
      </c>
      <c r="K108" s="6">
        <v>45.470001000000003</v>
      </c>
      <c r="L108" s="6">
        <v>42.198062999999998</v>
      </c>
      <c r="M108" s="6">
        <f t="shared" si="28"/>
        <v>1.0095469244475663</v>
      </c>
      <c r="N108" s="6">
        <f t="shared" si="21"/>
        <v>1.2604084652800069</v>
      </c>
      <c r="O108" s="6">
        <f t="shared" si="15"/>
        <v>9.5469244475663295E-3</v>
      </c>
      <c r="P108" s="7">
        <f>0.5*R108</f>
        <v>1.4691322558824873</v>
      </c>
      <c r="R108" s="6">
        <f t="shared" si="16"/>
        <v>2.9382645117649746</v>
      </c>
      <c r="S108" s="6">
        <f t="shared" si="29"/>
        <v>5.7909629530640494E-2</v>
      </c>
      <c r="U108" s="6">
        <f>F108/R108</f>
        <v>0.57103641954859352</v>
      </c>
      <c r="V108" s="6">
        <f>N108/R108</f>
        <v>0.42896358045140637</v>
      </c>
      <c r="W108" s="7">
        <v>0.5</v>
      </c>
      <c r="X108" s="7">
        <v>0.5</v>
      </c>
      <c r="Y108" s="6">
        <f t="shared" si="22"/>
        <v>5.7909629530640445E-2</v>
      </c>
      <c r="Z108" s="6">
        <f t="shared" si="23"/>
        <v>4.8572257327350599E-17</v>
      </c>
      <c r="AB108" s="6">
        <f t="shared" si="24"/>
        <v>9.2944986493769408E-2</v>
      </c>
      <c r="AC108" s="6">
        <f t="shared" si="25"/>
        <v>9.5016405508530563E-3</v>
      </c>
      <c r="AD108" s="6">
        <f t="shared" si="26"/>
        <v>5.6294913465279775E-2</v>
      </c>
    </row>
    <row r="109" spans="1:30" s="6" customFormat="1" x14ac:dyDescent="0.3">
      <c r="A109" s="5">
        <v>43983</v>
      </c>
      <c r="B109" s="6">
        <v>183.179993</v>
      </c>
      <c r="C109" s="6">
        <v>204.14999399999999</v>
      </c>
      <c r="D109" s="6">
        <v>204.14999399999999</v>
      </c>
      <c r="E109" s="6">
        <f t="shared" si="27"/>
        <v>1.1374526328828312</v>
      </c>
      <c r="F109" s="7">
        <f>H108*E109</f>
        <v>1.6710683525066283</v>
      </c>
      <c r="G109" s="6">
        <f t="shared" si="20"/>
        <v>0.13745263288283116</v>
      </c>
      <c r="J109" s="6">
        <v>45.32</v>
      </c>
      <c r="K109" s="6">
        <v>46.279998999999997</v>
      </c>
      <c r="L109" s="6">
        <v>42.949776</v>
      </c>
      <c r="M109" s="6">
        <f t="shared" si="28"/>
        <v>1.0178139219328621</v>
      </c>
      <c r="N109" s="7">
        <f>P108*M109</f>
        <v>1.4953032631978276</v>
      </c>
      <c r="O109" s="6">
        <f t="shared" si="15"/>
        <v>1.7813921932862131E-2</v>
      </c>
      <c r="R109" s="6">
        <f t="shared" si="16"/>
        <v>3.1663716157044561</v>
      </c>
      <c r="S109" s="6">
        <f t="shared" si="29"/>
        <v>7.7633277407846757E-2</v>
      </c>
      <c r="W109" s="6">
        <f t="shared" si="17"/>
        <v>0.52775496856355186</v>
      </c>
      <c r="X109" s="6">
        <f t="shared" si="18"/>
        <v>0.47224503143644803</v>
      </c>
      <c r="Y109" s="7">
        <f t="shared" si="22"/>
        <v>7.7633277407846646E-2</v>
      </c>
      <c r="Z109" s="6">
        <f t="shared" si="23"/>
        <v>1.1102230246251565E-16</v>
      </c>
      <c r="AB109" s="6">
        <f t="shared" si="24"/>
        <v>0.12879122955425346</v>
      </c>
      <c r="AC109" s="6">
        <f t="shared" si="25"/>
        <v>1.7657113535385304E-2</v>
      </c>
      <c r="AD109" s="6">
        <f t="shared" si="26"/>
        <v>7.4767226676412196E-2</v>
      </c>
    </row>
    <row r="110" spans="1:30" x14ac:dyDescent="0.3">
      <c r="A110" s="1">
        <v>43984</v>
      </c>
      <c r="B110">
        <v>210.25</v>
      </c>
      <c r="C110">
        <v>208.08000200000001</v>
      </c>
      <c r="D110">
        <v>208.08000200000001</v>
      </c>
      <c r="E110">
        <f t="shared" si="27"/>
        <v>1.0192505908180434</v>
      </c>
      <c r="F110">
        <f t="shared" si="19"/>
        <v>1.7032374055897153</v>
      </c>
      <c r="G110">
        <f t="shared" si="20"/>
        <v>1.9250590818043367E-2</v>
      </c>
      <c r="J110">
        <v>46.860000999999997</v>
      </c>
      <c r="K110">
        <v>47.310001</v>
      </c>
      <c r="L110">
        <v>43.905662999999997</v>
      </c>
      <c r="M110">
        <f t="shared" si="28"/>
        <v>1.0222559251531369</v>
      </c>
      <c r="N110">
        <f t="shared" si="21"/>
        <v>1.5285826207047999</v>
      </c>
      <c r="O110">
        <f t="shared" si="15"/>
        <v>2.2255925153136902E-2</v>
      </c>
      <c r="R110">
        <f t="shared" si="16"/>
        <v>3.2318200262945149</v>
      </c>
      <c r="S110">
        <f t="shared" si="29"/>
        <v>2.0669845025596434E-2</v>
      </c>
      <c r="W110">
        <f t="shared" si="17"/>
        <v>0.5270211186674848</v>
      </c>
      <c r="X110">
        <f t="shared" si="18"/>
        <v>0.47297888133251531</v>
      </c>
      <c r="Y110">
        <f t="shared" si="22"/>
        <v>2.0669845025596649E-2</v>
      </c>
      <c r="Z110">
        <f t="shared" si="23"/>
        <v>2.1510571102112408E-16</v>
      </c>
      <c r="AB110">
        <f t="shared" si="24"/>
        <v>1.9067642376653871E-2</v>
      </c>
      <c r="AC110">
        <f t="shared" si="25"/>
        <v>2.2011876433771706E-2</v>
      </c>
      <c r="AD110">
        <f t="shared" si="26"/>
        <v>2.0459122565404268E-2</v>
      </c>
    </row>
    <row r="111" spans="1:30" x14ac:dyDescent="0.3">
      <c r="A111" s="1">
        <v>43985</v>
      </c>
      <c r="B111">
        <v>211.699997</v>
      </c>
      <c r="C111">
        <v>223.86999499999999</v>
      </c>
      <c r="D111">
        <v>223.86999499999999</v>
      </c>
      <c r="E111">
        <f t="shared" si="27"/>
        <v>1.0758842409084559</v>
      </c>
      <c r="F111">
        <f t="shared" si="19"/>
        <v>1.8324862831997786</v>
      </c>
      <c r="G111">
        <f t="shared" si="20"/>
        <v>7.5884240908455913E-2</v>
      </c>
      <c r="J111">
        <v>48</v>
      </c>
      <c r="K111">
        <v>49.240001999999997</v>
      </c>
      <c r="L111">
        <v>45.696784999999998</v>
      </c>
      <c r="M111">
        <f t="shared" si="28"/>
        <v>1.0407947831239903</v>
      </c>
      <c r="N111">
        <f t="shared" si="21"/>
        <v>1.5909408172035528</v>
      </c>
      <c r="O111">
        <f t="shared" si="15"/>
        <v>4.0794783123990319E-2</v>
      </c>
      <c r="R111">
        <f t="shared" si="16"/>
        <v>3.4234271004033312</v>
      </c>
      <c r="S111">
        <f t="shared" si="29"/>
        <v>5.928766841899491E-2</v>
      </c>
      <c r="W111">
        <f t="shared" si="17"/>
        <v>0.53527831306350415</v>
      </c>
      <c r="X111">
        <f t="shared" si="18"/>
        <v>0.4647216869364959</v>
      </c>
      <c r="Y111">
        <f t="shared" si="22"/>
        <v>5.9287668418994868E-2</v>
      </c>
      <c r="Z111">
        <f t="shared" si="23"/>
        <v>4.163336342344337E-17</v>
      </c>
      <c r="AB111">
        <f t="shared" si="24"/>
        <v>7.3142873153315482E-2</v>
      </c>
      <c r="AC111">
        <f t="shared" si="25"/>
        <v>3.998463583233431E-2</v>
      </c>
      <c r="AD111">
        <f t="shared" si="26"/>
        <v>5.7596671297946531E-2</v>
      </c>
    </row>
    <row r="112" spans="1:30" x14ac:dyDescent="0.3">
      <c r="A112" s="1">
        <v>43986</v>
      </c>
      <c r="B112">
        <v>221</v>
      </c>
      <c r="C112">
        <v>210.35000600000001</v>
      </c>
      <c r="D112">
        <v>210.35000600000001</v>
      </c>
      <c r="E112">
        <f t="shared" si="27"/>
        <v>0.93960785588975426</v>
      </c>
      <c r="F112">
        <f t="shared" si="19"/>
        <v>1.721818507504729</v>
      </c>
      <c r="G112">
        <f t="shared" si="20"/>
        <v>-6.0392144110245738E-2</v>
      </c>
      <c r="J112">
        <v>48.880001</v>
      </c>
      <c r="K112">
        <v>49.099997999999999</v>
      </c>
      <c r="L112">
        <v>45.566856000000001</v>
      </c>
      <c r="M112">
        <f t="shared" si="28"/>
        <v>0.99715671463539512</v>
      </c>
      <c r="N112">
        <f t="shared" si="21"/>
        <v>1.5864173184620454</v>
      </c>
      <c r="O112">
        <f t="shared" si="15"/>
        <v>-2.843285364604875E-3</v>
      </c>
      <c r="R112">
        <f t="shared" si="16"/>
        <v>3.3082358259667743</v>
      </c>
      <c r="S112">
        <f t="shared" si="29"/>
        <v>-3.364794139270133E-2</v>
      </c>
      <c r="W112">
        <f t="shared" si="17"/>
        <v>0.52046425892312487</v>
      </c>
      <c r="X112">
        <f t="shared" si="18"/>
        <v>0.47953574107687519</v>
      </c>
      <c r="Y112">
        <f t="shared" si="22"/>
        <v>-3.36479413927014E-2</v>
      </c>
      <c r="Z112">
        <f t="shared" si="23"/>
        <v>6.9388939039072284E-17</v>
      </c>
      <c r="AB112">
        <f t="shared" si="24"/>
        <v>-6.2292665344981131E-2</v>
      </c>
      <c r="AC112">
        <f t="shared" si="25"/>
        <v>-2.8473351787770473E-3</v>
      </c>
      <c r="AD112">
        <f t="shared" si="26"/>
        <v>-3.4227061261317984E-2</v>
      </c>
    </row>
    <row r="113" spans="1:30" x14ac:dyDescent="0.3">
      <c r="A113" s="1">
        <v>43987</v>
      </c>
      <c r="B113">
        <v>200.11000100000001</v>
      </c>
      <c r="C113">
        <v>207.60000600000001</v>
      </c>
      <c r="D113">
        <v>207.60000600000001</v>
      </c>
      <c r="E113">
        <f t="shared" si="27"/>
        <v>0.9869265513593567</v>
      </c>
      <c r="F113">
        <f t="shared" si="19"/>
        <v>1.6993084016783568</v>
      </c>
      <c r="G113">
        <f t="shared" si="20"/>
        <v>-1.3073448640643304E-2</v>
      </c>
      <c r="J113">
        <v>51.650002000000001</v>
      </c>
      <c r="K113">
        <v>53.080002</v>
      </c>
      <c r="L113">
        <v>49.260468000000003</v>
      </c>
      <c r="M113">
        <f t="shared" si="28"/>
        <v>1.0810591803832155</v>
      </c>
      <c r="N113">
        <f t="shared" si="21"/>
        <v>1.7150110060423174</v>
      </c>
      <c r="O113">
        <f t="shared" si="15"/>
        <v>8.1059180383215468E-2</v>
      </c>
      <c r="R113">
        <f t="shared" si="16"/>
        <v>3.414319407720674</v>
      </c>
      <c r="S113">
        <f t="shared" si="29"/>
        <v>3.2066511377827345E-2</v>
      </c>
      <c r="W113">
        <f t="shared" si="17"/>
        <v>0.4977004781204048</v>
      </c>
      <c r="X113">
        <f t="shared" si="18"/>
        <v>0.50229952187959526</v>
      </c>
      <c r="Y113">
        <f t="shared" si="22"/>
        <v>3.2066511377827379E-2</v>
      </c>
      <c r="Z113">
        <f t="shared" si="23"/>
        <v>3.4694469519536142E-17</v>
      </c>
      <c r="AB113">
        <f t="shared" si="24"/>
        <v>-1.3159658366951033E-2</v>
      </c>
      <c r="AC113">
        <f t="shared" si="25"/>
        <v>7.7941283118987167E-2</v>
      </c>
      <c r="AD113">
        <f t="shared" si="26"/>
        <v>3.1563113992145425E-2</v>
      </c>
    </row>
    <row r="114" spans="1:30" x14ac:dyDescent="0.3">
      <c r="A114" s="1">
        <v>43990</v>
      </c>
      <c r="B114">
        <v>204.35000600000001</v>
      </c>
      <c r="C114">
        <v>209.83000200000001</v>
      </c>
      <c r="D114">
        <v>209.83000200000001</v>
      </c>
      <c r="E114">
        <f t="shared" si="27"/>
        <v>1.010741791597058</v>
      </c>
      <c r="F114">
        <f t="shared" si="19"/>
        <v>1.7175620183883156</v>
      </c>
      <c r="G114">
        <f t="shared" si="20"/>
        <v>1.0741791597058015E-2</v>
      </c>
      <c r="J114">
        <v>54.720001000000003</v>
      </c>
      <c r="K114">
        <v>54.740001999999997</v>
      </c>
      <c r="L114">
        <v>50.801017999999999</v>
      </c>
      <c r="M114">
        <f t="shared" si="28"/>
        <v>1.0312735559069393</v>
      </c>
      <c r="N114">
        <f t="shared" si="21"/>
        <v>1.768645498620798</v>
      </c>
      <c r="O114">
        <f t="shared" si="15"/>
        <v>3.1273555906939254E-2</v>
      </c>
      <c r="R114">
        <f t="shared" si="16"/>
        <v>3.4862075170091136</v>
      </c>
      <c r="S114">
        <f t="shared" si="29"/>
        <v>2.1054886993256083E-2</v>
      </c>
      <c r="W114">
        <f t="shared" si="17"/>
        <v>0.4926734883131243</v>
      </c>
      <c r="X114">
        <f t="shared" si="18"/>
        <v>0.5073265116868757</v>
      </c>
      <c r="Y114">
        <f t="shared" si="22"/>
        <v>2.1054886993255899E-2</v>
      </c>
      <c r="Z114">
        <f t="shared" si="23"/>
        <v>1.8388068845354155E-16</v>
      </c>
      <c r="AB114">
        <f t="shared" si="24"/>
        <v>1.0684508404661773E-2</v>
      </c>
      <c r="AC114">
        <f t="shared" si="25"/>
        <v>3.0794500497454545E-2</v>
      </c>
      <c r="AD114">
        <f t="shared" si="26"/>
        <v>2.0836295811323253E-2</v>
      </c>
    </row>
    <row r="115" spans="1:30" x14ac:dyDescent="0.3">
      <c r="A115" s="1">
        <v>43991</v>
      </c>
      <c r="B115">
        <v>209.83000200000001</v>
      </c>
      <c r="C115">
        <v>205.429993</v>
      </c>
      <c r="D115">
        <v>205.429993</v>
      </c>
      <c r="E115">
        <f t="shared" si="27"/>
        <v>0.97903060116255436</v>
      </c>
      <c r="F115">
        <f t="shared" si="19"/>
        <v>1.6815457753966829</v>
      </c>
      <c r="G115">
        <f t="shared" si="20"/>
        <v>-2.0969398837445641E-2</v>
      </c>
      <c r="J115">
        <v>52.880001</v>
      </c>
      <c r="K115">
        <v>53.52</v>
      </c>
      <c r="L115">
        <v>49.668804000000002</v>
      </c>
      <c r="M115">
        <f t="shared" si="28"/>
        <v>0.9777127694567066</v>
      </c>
      <c r="N115">
        <f t="shared" si="21"/>
        <v>1.7292272886436781</v>
      </c>
      <c r="O115">
        <f t="shared" si="15"/>
        <v>-2.2287230543293401E-2</v>
      </c>
      <c r="R115">
        <f t="shared" si="16"/>
        <v>3.4107730640403613</v>
      </c>
      <c r="S115">
        <f t="shared" si="29"/>
        <v>-2.1637969799763623E-2</v>
      </c>
      <c r="W115">
        <f t="shared" si="17"/>
        <v>0.49301016040180162</v>
      </c>
      <c r="X115">
        <f t="shared" si="18"/>
        <v>0.50698983959819832</v>
      </c>
      <c r="Y115">
        <f t="shared" si="22"/>
        <v>-2.1637969799763748E-2</v>
      </c>
      <c r="Z115">
        <f t="shared" si="23"/>
        <v>1.2490009027033011E-16</v>
      </c>
      <c r="AB115">
        <f t="shared" si="24"/>
        <v>-2.1192379368577322E-2</v>
      </c>
      <c r="AC115">
        <f t="shared" si="25"/>
        <v>-2.2539343845249932E-2</v>
      </c>
      <c r="AD115">
        <f t="shared" si="26"/>
        <v>-2.1875503415950515E-2</v>
      </c>
    </row>
    <row r="116" spans="1:30" x14ac:dyDescent="0.3">
      <c r="A116" s="1">
        <v>43992</v>
      </c>
      <c r="B116">
        <v>208.88999899999999</v>
      </c>
      <c r="C116">
        <v>221.020004</v>
      </c>
      <c r="D116">
        <v>221.020004</v>
      </c>
      <c r="E116">
        <f t="shared" si="27"/>
        <v>1.0758896535619316</v>
      </c>
      <c r="F116">
        <f t="shared" si="19"/>
        <v>1.8091577017400668</v>
      </c>
      <c r="G116">
        <f t="shared" si="20"/>
        <v>7.5889653561931558E-2</v>
      </c>
      <c r="J116">
        <v>53.5</v>
      </c>
      <c r="K116">
        <v>50.650002000000001</v>
      </c>
      <c r="L116">
        <v>47.005324999999999</v>
      </c>
      <c r="M116">
        <f t="shared" si="28"/>
        <v>0.94637521370556854</v>
      </c>
      <c r="N116">
        <f t="shared" si="21"/>
        <v>1.6364978448356617</v>
      </c>
      <c r="O116">
        <f t="shared" si="15"/>
        <v>-5.3624786294431459E-2</v>
      </c>
      <c r="R116">
        <f t="shared" si="16"/>
        <v>3.4456555465757286</v>
      </c>
      <c r="S116">
        <f t="shared" si="29"/>
        <v>1.0227148473503478E-2</v>
      </c>
      <c r="W116">
        <f t="shared" si="17"/>
        <v>0.52505471811829729</v>
      </c>
      <c r="X116">
        <f t="shared" si="18"/>
        <v>0.47494528188170271</v>
      </c>
      <c r="Y116">
        <f t="shared" si="22"/>
        <v>1.0227148473503565E-2</v>
      </c>
      <c r="Z116">
        <f t="shared" si="23"/>
        <v>8.6736173798840355E-17</v>
      </c>
      <c r="AB116">
        <f t="shared" si="24"/>
        <v>7.3147904028993987E-2</v>
      </c>
      <c r="AC116">
        <f t="shared" si="25"/>
        <v>-5.5116156743799716E-2</v>
      </c>
      <c r="AD116">
        <f t="shared" si="26"/>
        <v>1.0175205045787783E-2</v>
      </c>
    </row>
    <row r="117" spans="1:30" x14ac:dyDescent="0.3">
      <c r="A117" s="1">
        <v>43993</v>
      </c>
      <c r="B117">
        <v>219.179993</v>
      </c>
      <c r="C117">
        <v>222.070007</v>
      </c>
      <c r="D117">
        <v>222.070007</v>
      </c>
      <c r="E117">
        <f t="shared" si="27"/>
        <v>1.0047507147814547</v>
      </c>
      <c r="F117">
        <f t="shared" si="19"/>
        <v>1.8177524939757059</v>
      </c>
      <c r="G117">
        <f t="shared" si="20"/>
        <v>4.7507147814547235E-3</v>
      </c>
      <c r="J117">
        <v>47.529998999999997</v>
      </c>
      <c r="K117">
        <v>46.18</v>
      </c>
      <c r="L117">
        <v>42.856979000000003</v>
      </c>
      <c r="M117">
        <f t="shared" si="28"/>
        <v>0.91174731799003628</v>
      </c>
      <c r="N117">
        <f t="shared" si="21"/>
        <v>1.4920725209253891</v>
      </c>
      <c r="O117">
        <f t="shared" si="15"/>
        <v>-8.8252682009963723E-2</v>
      </c>
      <c r="R117">
        <f t="shared" si="16"/>
        <v>3.309825014901095</v>
      </c>
      <c r="S117">
        <f t="shared" si="29"/>
        <v>-3.9420809723601402E-2</v>
      </c>
      <c r="W117">
        <f t="shared" si="17"/>
        <v>0.54919897148400287</v>
      </c>
      <c r="X117">
        <f t="shared" si="18"/>
        <v>0.45080102851599713</v>
      </c>
      <c r="Y117">
        <f t="shared" si="22"/>
        <v>-3.942080972360136E-2</v>
      </c>
      <c r="Z117">
        <f t="shared" si="23"/>
        <v>4.163336342344337E-17</v>
      </c>
      <c r="AB117">
        <f t="shared" si="24"/>
        <v>4.7394657492142193E-3</v>
      </c>
      <c r="AC117">
        <f t="shared" si="25"/>
        <v>-9.2392390904434296E-2</v>
      </c>
      <c r="AD117">
        <f t="shared" si="26"/>
        <v>-4.0218853241947967E-2</v>
      </c>
    </row>
    <row r="118" spans="1:30" x14ac:dyDescent="0.3">
      <c r="A118" s="1">
        <v>43994</v>
      </c>
      <c r="B118">
        <v>224.78999300000001</v>
      </c>
      <c r="C118">
        <v>219.520004</v>
      </c>
      <c r="D118">
        <v>219.520004</v>
      </c>
      <c r="E118">
        <f t="shared" si="27"/>
        <v>0.98851712108965706</v>
      </c>
      <c r="F118">
        <f t="shared" si="19"/>
        <v>1.796879462198409</v>
      </c>
      <c r="G118">
        <f t="shared" si="20"/>
        <v>-1.1482878910342942E-2</v>
      </c>
      <c r="J118">
        <v>48.040000999999997</v>
      </c>
      <c r="K118">
        <v>47.169998</v>
      </c>
      <c r="L118">
        <v>43.775737999999997</v>
      </c>
      <c r="M118">
        <f t="shared" si="28"/>
        <v>1.0214377919638244</v>
      </c>
      <c r="N118">
        <f t="shared" si="21"/>
        <v>1.5240592612239268</v>
      </c>
      <c r="O118">
        <f t="shared" si="15"/>
        <v>2.1437791963824449E-2</v>
      </c>
      <c r="R118">
        <f t="shared" si="16"/>
        <v>3.3209387234223358</v>
      </c>
      <c r="S118">
        <f t="shared" si="29"/>
        <v>3.3577933791684167E-3</v>
      </c>
      <c r="W118">
        <f t="shared" si="17"/>
        <v>0.54107576557349601</v>
      </c>
      <c r="X118">
        <f t="shared" si="18"/>
        <v>0.45892423442650393</v>
      </c>
      <c r="Y118">
        <f t="shared" si="22"/>
        <v>3.3577933791683473E-3</v>
      </c>
      <c r="Z118">
        <f t="shared" si="23"/>
        <v>6.9388939039072284E-17</v>
      </c>
      <c r="AB118">
        <f t="shared" si="24"/>
        <v>-1.1549316248665452E-2</v>
      </c>
      <c r="AC118">
        <f t="shared" si="25"/>
        <v>2.1211234707309491E-2</v>
      </c>
      <c r="AD118">
        <f t="shared" si="26"/>
        <v>3.3521685787412984E-3</v>
      </c>
    </row>
    <row r="119" spans="1:30" x14ac:dyDescent="0.3">
      <c r="A119" s="1">
        <v>43997</v>
      </c>
      <c r="B119">
        <v>227.83999600000001</v>
      </c>
      <c r="C119">
        <v>239.020004</v>
      </c>
      <c r="D119">
        <v>239.020004</v>
      </c>
      <c r="E119">
        <f t="shared" si="27"/>
        <v>1.0888301733084882</v>
      </c>
      <c r="F119">
        <f t="shared" si="19"/>
        <v>1.9564965762399567</v>
      </c>
      <c r="G119">
        <f t="shared" si="20"/>
        <v>8.8830173308488192E-2</v>
      </c>
      <c r="J119">
        <v>45.349997999999999</v>
      </c>
      <c r="K119">
        <v>47.139999000000003</v>
      </c>
      <c r="L119">
        <v>43.747894000000002</v>
      </c>
      <c r="M119">
        <f t="shared" si="28"/>
        <v>0.99936393990662142</v>
      </c>
      <c r="N119">
        <f t="shared" si="21"/>
        <v>1.5230898679479181</v>
      </c>
      <c r="O119">
        <f t="shared" si="15"/>
        <v>-6.360600933785765E-4</v>
      </c>
      <c r="R119">
        <f t="shared" si="16"/>
        <v>3.4795864441878748</v>
      </c>
      <c r="S119">
        <f t="shared" si="29"/>
        <v>4.7771950637513605E-2</v>
      </c>
      <c r="W119">
        <f t="shared" si="17"/>
        <v>0.5622784798199193</v>
      </c>
      <c r="X119">
        <f t="shared" si="18"/>
        <v>0.4377215201800807</v>
      </c>
      <c r="Y119">
        <f t="shared" si="22"/>
        <v>4.7771950637513563E-2</v>
      </c>
      <c r="Z119">
        <f t="shared" si="23"/>
        <v>4.163336342344337E-17</v>
      </c>
      <c r="AB119">
        <f t="shared" si="24"/>
        <v>8.5103884414641548E-2</v>
      </c>
      <c r="AC119">
        <f t="shared" si="25"/>
        <v>-6.3626246541817325E-4</v>
      </c>
      <c r="AD119">
        <f t="shared" si="26"/>
        <v>4.6665957866070328E-2</v>
      </c>
    </row>
    <row r="120" spans="1:30" x14ac:dyDescent="0.3">
      <c r="A120" s="1">
        <v>43998</v>
      </c>
      <c r="B120">
        <v>235.990005</v>
      </c>
      <c r="C120">
        <v>242.55999800000001</v>
      </c>
      <c r="D120">
        <v>242.55999800000001</v>
      </c>
      <c r="E120">
        <f t="shared" si="27"/>
        <v>1.014810450760431</v>
      </c>
      <c r="F120">
        <f t="shared" si="19"/>
        <v>1.9854731724453103</v>
      </c>
      <c r="G120">
        <f t="shared" si="20"/>
        <v>1.4810450760430971E-2</v>
      </c>
      <c r="J120">
        <v>49.57</v>
      </c>
      <c r="K120">
        <v>48.200001</v>
      </c>
      <c r="L120">
        <v>44.731620999999997</v>
      </c>
      <c r="M120">
        <f t="shared" si="28"/>
        <v>1.0224862709962677</v>
      </c>
      <c r="N120">
        <f t="shared" si="21"/>
        <v>1.5573384794702645</v>
      </c>
      <c r="O120">
        <f t="shared" si="15"/>
        <v>2.2486270996267654E-2</v>
      </c>
      <c r="R120">
        <f t="shared" si="16"/>
        <v>3.5428116519155748</v>
      </c>
      <c r="S120">
        <f t="shared" si="29"/>
        <v>1.8170322462690347E-2</v>
      </c>
      <c r="W120">
        <f t="shared" si="17"/>
        <v>0.56042301073831513</v>
      </c>
      <c r="X120">
        <f t="shared" si="18"/>
        <v>0.43957698926168481</v>
      </c>
      <c r="Y120">
        <f t="shared" si="22"/>
        <v>1.817032246269043E-2</v>
      </c>
      <c r="Z120">
        <f t="shared" si="23"/>
        <v>8.3266726846886741E-17</v>
      </c>
      <c r="AB120">
        <f t="shared" si="24"/>
        <v>1.4701847034888232E-2</v>
      </c>
      <c r="AC120">
        <f t="shared" si="25"/>
        <v>2.2237181946162407E-2</v>
      </c>
      <c r="AD120">
        <f t="shared" si="26"/>
        <v>1.8007215000511712E-2</v>
      </c>
    </row>
    <row r="121" spans="1:30" x14ac:dyDescent="0.3">
      <c r="A121" s="1">
        <v>43999</v>
      </c>
      <c r="B121">
        <v>243.179993</v>
      </c>
      <c r="C121">
        <v>236.759995</v>
      </c>
      <c r="D121">
        <v>236.759995</v>
      </c>
      <c r="E121">
        <f t="shared" si="27"/>
        <v>0.97608837793608494</v>
      </c>
      <c r="F121">
        <f t="shared" si="19"/>
        <v>1.9379972883277556</v>
      </c>
      <c r="G121">
        <f t="shared" si="20"/>
        <v>-2.3911622063915061E-2</v>
      </c>
      <c r="J121">
        <v>48</v>
      </c>
      <c r="K121">
        <v>46.630001</v>
      </c>
      <c r="L121">
        <v>43.274593000000003</v>
      </c>
      <c r="M121">
        <f t="shared" si="28"/>
        <v>0.96742733736387521</v>
      </c>
      <c r="N121">
        <f t="shared" si="21"/>
        <v>1.506611818568224</v>
      </c>
      <c r="O121">
        <f t="shared" si="15"/>
        <v>-3.2572662636124794E-2</v>
      </c>
      <c r="R121">
        <f t="shared" si="16"/>
        <v>3.4446091068959799</v>
      </c>
      <c r="S121">
        <f t="shared" si="29"/>
        <v>-2.7718816202520258E-2</v>
      </c>
      <c r="W121">
        <f t="shared" si="17"/>
        <v>0.56261747797390327</v>
      </c>
      <c r="X121">
        <f t="shared" si="18"/>
        <v>0.43738252202609662</v>
      </c>
      <c r="Y121">
        <f t="shared" si="22"/>
        <v>-2.7718816202520313E-2</v>
      </c>
      <c r="Z121">
        <f t="shared" si="23"/>
        <v>5.5511151231257827E-17</v>
      </c>
      <c r="AB121">
        <f t="shared" si="24"/>
        <v>-2.4202145504532289E-2</v>
      </c>
      <c r="AC121">
        <f t="shared" si="25"/>
        <v>-3.3114960398479831E-2</v>
      </c>
      <c r="AD121">
        <f t="shared" si="26"/>
        <v>-2.8110232613908808E-2</v>
      </c>
    </row>
    <row r="122" spans="1:30" x14ac:dyDescent="0.3">
      <c r="A122" s="1">
        <v>44000</v>
      </c>
      <c r="B122">
        <v>240.38999899999999</v>
      </c>
      <c r="C122">
        <v>241.570007</v>
      </c>
      <c r="D122">
        <v>241.570007</v>
      </c>
      <c r="E122">
        <f t="shared" si="27"/>
        <v>1.0203159828585062</v>
      </c>
      <c r="F122">
        <f t="shared" si="19"/>
        <v>1.9773696080172538</v>
      </c>
      <c r="G122">
        <f t="shared" si="20"/>
        <v>2.0315982858506221E-2</v>
      </c>
      <c r="J122">
        <v>46.110000999999997</v>
      </c>
      <c r="K122">
        <v>46.919998</v>
      </c>
      <c r="L122">
        <v>43.543723999999997</v>
      </c>
      <c r="M122">
        <f t="shared" si="28"/>
        <v>1.0062191457236811</v>
      </c>
      <c r="N122">
        <f t="shared" si="21"/>
        <v>1.51598165701692</v>
      </c>
      <c r="O122">
        <f t="shared" si="15"/>
        <v>6.2191457236810965E-3</v>
      </c>
      <c r="R122">
        <f t="shared" si="16"/>
        <v>3.4933512650341738</v>
      </c>
      <c r="S122">
        <f t="shared" si="29"/>
        <v>1.4150272679885223E-2</v>
      </c>
      <c r="W122">
        <f t="shared" si="17"/>
        <v>0.56603801278423971</v>
      </c>
      <c r="X122">
        <f t="shared" si="18"/>
        <v>0.43396198721576024</v>
      </c>
      <c r="Y122">
        <f t="shared" si="22"/>
        <v>1.4150272679885272E-2</v>
      </c>
      <c r="Z122">
        <f t="shared" si="23"/>
        <v>4.8572257327350599E-17</v>
      </c>
      <c r="AB122">
        <f t="shared" si="24"/>
        <v>2.0112366438241193E-2</v>
      </c>
      <c r="AC122">
        <f t="shared" si="25"/>
        <v>6.1998866456767924E-3</v>
      </c>
      <c r="AD122">
        <f t="shared" si="26"/>
        <v>1.4051092097923124E-2</v>
      </c>
    </row>
    <row r="123" spans="1:30" x14ac:dyDescent="0.3">
      <c r="A123" s="1">
        <v>44001</v>
      </c>
      <c r="B123">
        <v>241.63999899999999</v>
      </c>
      <c r="C123">
        <v>243.479996</v>
      </c>
      <c r="D123">
        <v>243.479996</v>
      </c>
      <c r="E123">
        <f t="shared" si="27"/>
        <v>1.0079065651556651</v>
      </c>
      <c r="F123">
        <f t="shared" si="19"/>
        <v>1.9930038096598743</v>
      </c>
      <c r="G123">
        <f t="shared" si="20"/>
        <v>7.906565155665124E-3</v>
      </c>
      <c r="J123">
        <v>48.220001000000003</v>
      </c>
      <c r="K123">
        <v>45.98</v>
      </c>
      <c r="L123">
        <v>42.671368000000001</v>
      </c>
      <c r="M123">
        <f t="shared" si="28"/>
        <v>0.97996597626790038</v>
      </c>
      <c r="N123">
        <f t="shared" si="21"/>
        <v>1.4856104445228153</v>
      </c>
      <c r="O123">
        <f t="shared" si="15"/>
        <v>-2.0034023732099615E-2</v>
      </c>
      <c r="R123">
        <f t="shared" si="16"/>
        <v>3.4786142541826894</v>
      </c>
      <c r="S123">
        <f t="shared" si="29"/>
        <v>-4.2185883220479115E-3</v>
      </c>
      <c r="W123">
        <f t="shared" si="17"/>
        <v>0.57293038665137541</v>
      </c>
      <c r="X123">
        <f t="shared" si="18"/>
        <v>0.42706961334862459</v>
      </c>
      <c r="Y123">
        <f t="shared" si="22"/>
        <v>-4.2185883220478507E-3</v>
      </c>
      <c r="Z123">
        <f t="shared" si="23"/>
        <v>6.0715321659188248E-17</v>
      </c>
      <c r="AB123">
        <f t="shared" si="24"/>
        <v>7.8754720549363711E-3</v>
      </c>
      <c r="AC123">
        <f t="shared" si="25"/>
        <v>-2.0237426014185621E-2</v>
      </c>
      <c r="AD123">
        <f t="shared" si="26"/>
        <v>-4.2275116705616225E-3</v>
      </c>
    </row>
    <row r="124" spans="1:30" x14ac:dyDescent="0.3">
      <c r="A124" s="1">
        <v>44004</v>
      </c>
      <c r="B124">
        <v>247.46499600000001</v>
      </c>
      <c r="C124">
        <v>251.270004</v>
      </c>
      <c r="D124">
        <v>251.270004</v>
      </c>
      <c r="E124">
        <f t="shared" si="27"/>
        <v>1.0319944477081395</v>
      </c>
      <c r="F124">
        <f t="shared" si="19"/>
        <v>2.0567688658301599</v>
      </c>
      <c r="G124">
        <f t="shared" si="20"/>
        <v>3.1994447708139528E-2</v>
      </c>
      <c r="J124">
        <v>45.689999</v>
      </c>
      <c r="K124">
        <v>46.419998</v>
      </c>
      <c r="L124">
        <v>43.079704</v>
      </c>
      <c r="M124">
        <f t="shared" si="28"/>
        <v>1.0095693205804885</v>
      </c>
      <c r="N124">
        <f t="shared" si="21"/>
        <v>1.4998267271241763</v>
      </c>
      <c r="O124">
        <f t="shared" si="15"/>
        <v>9.5693205804885384E-3</v>
      </c>
      <c r="R124">
        <f t="shared" si="16"/>
        <v>3.556595592954336</v>
      </c>
      <c r="S124">
        <f t="shared" si="29"/>
        <v>2.2417357336439903E-2</v>
      </c>
      <c r="W124">
        <f t="shared" si="17"/>
        <v>0.57829708553444958</v>
      </c>
      <c r="X124">
        <f t="shared" si="18"/>
        <v>0.42170291446555053</v>
      </c>
      <c r="Y124">
        <f t="shared" si="22"/>
        <v>2.2417357336439868E-2</v>
      </c>
      <c r="Z124">
        <f t="shared" si="23"/>
        <v>3.4694469519536142E-17</v>
      </c>
      <c r="AB124">
        <f t="shared" si="24"/>
        <v>3.149328691712628E-2</v>
      </c>
      <c r="AC124">
        <f t="shared" si="25"/>
        <v>9.5238246454818591E-3</v>
      </c>
      <c r="AD124">
        <f t="shared" si="26"/>
        <v>2.2169781547533327E-2</v>
      </c>
    </row>
    <row r="125" spans="1:30" x14ac:dyDescent="0.3">
      <c r="A125" s="1">
        <v>44005</v>
      </c>
      <c r="B125">
        <v>251.259995</v>
      </c>
      <c r="C125">
        <v>252.80999800000001</v>
      </c>
      <c r="D125">
        <v>252.80999800000001</v>
      </c>
      <c r="E125">
        <f t="shared" si="27"/>
        <v>1.0061288413876892</v>
      </c>
      <c r="F125">
        <f t="shared" si="19"/>
        <v>2.0693744759799704</v>
      </c>
      <c r="G125">
        <f t="shared" si="20"/>
        <v>6.1288413876892101E-3</v>
      </c>
      <c r="J125">
        <v>46.900002000000001</v>
      </c>
      <c r="K125">
        <v>46.700001</v>
      </c>
      <c r="L125">
        <v>43.339557999999997</v>
      </c>
      <c r="M125">
        <f t="shared" si="28"/>
        <v>1.0060319355954719</v>
      </c>
      <c r="N125">
        <f t="shared" si="21"/>
        <v>1.5088735853465567</v>
      </c>
      <c r="O125">
        <f t="shared" si="15"/>
        <v>6.0319355954718823E-3</v>
      </c>
      <c r="R125">
        <f t="shared" si="16"/>
        <v>3.5782480613265273</v>
      </c>
      <c r="S125">
        <f t="shared" si="29"/>
        <v>6.087975932682621E-3</v>
      </c>
      <c r="W125">
        <f t="shared" si="17"/>
        <v>0.57832057490525468</v>
      </c>
      <c r="X125">
        <f t="shared" si="18"/>
        <v>0.42167942509474521</v>
      </c>
      <c r="Y125">
        <f t="shared" si="22"/>
        <v>6.0879759326825707E-3</v>
      </c>
      <c r="Z125">
        <f t="shared" si="23"/>
        <v>5.0306980803327406E-17</v>
      </c>
      <c r="AB125">
        <f t="shared" si="24"/>
        <v>6.1101364268966582E-3</v>
      </c>
      <c r="AC125">
        <f t="shared" si="25"/>
        <v>6.0138162984051963E-3</v>
      </c>
      <c r="AD125">
        <f t="shared" si="26"/>
        <v>6.0695190792426149E-3</v>
      </c>
    </row>
    <row r="126" spans="1:30" x14ac:dyDescent="0.3">
      <c r="A126" s="1">
        <v>44006</v>
      </c>
      <c r="B126">
        <v>254.5</v>
      </c>
      <c r="C126">
        <v>255.89999399999999</v>
      </c>
      <c r="D126">
        <v>255.89999399999999</v>
      </c>
      <c r="E126">
        <f t="shared" si="27"/>
        <v>1.0122226020507306</v>
      </c>
      <c r="F126">
        <f t="shared" si="19"/>
        <v>2.0946676166938127</v>
      </c>
      <c r="G126">
        <f t="shared" si="20"/>
        <v>1.2222602050730558E-2</v>
      </c>
      <c r="J126">
        <v>45.91</v>
      </c>
      <c r="K126">
        <v>44.5</v>
      </c>
      <c r="L126">
        <v>41.297863</v>
      </c>
      <c r="M126">
        <f t="shared" si="28"/>
        <v>0.95289072860410806</v>
      </c>
      <c r="N126">
        <f t="shared" si="21"/>
        <v>1.4377916501123733</v>
      </c>
      <c r="O126">
        <f t="shared" si="15"/>
        <v>-4.7109271395891938E-2</v>
      </c>
      <c r="R126">
        <f t="shared" si="16"/>
        <v>3.5324592668061863</v>
      </c>
      <c r="S126">
        <f t="shared" si="29"/>
        <v>-1.2796428234035373E-2</v>
      </c>
      <c r="W126">
        <f t="shared" si="17"/>
        <v>0.59297714665162193</v>
      </c>
      <c r="X126">
        <f t="shared" si="18"/>
        <v>0.40702285334837801</v>
      </c>
      <c r="Y126">
        <f t="shared" si="22"/>
        <v>-1.2796428234035396E-2</v>
      </c>
      <c r="Z126">
        <f t="shared" si="23"/>
        <v>2.2551405187698492E-17</v>
      </c>
      <c r="AB126">
        <f t="shared" si="24"/>
        <v>1.2148509177791767E-2</v>
      </c>
      <c r="AC126">
        <f t="shared" si="25"/>
        <v>-4.8255042338348174E-2</v>
      </c>
      <c r="AD126">
        <f t="shared" si="26"/>
        <v>-1.2879007760204142E-2</v>
      </c>
    </row>
    <row r="127" spans="1:30" x14ac:dyDescent="0.3">
      <c r="A127" s="1">
        <v>44007</v>
      </c>
      <c r="B127">
        <v>258.23001099999999</v>
      </c>
      <c r="C127">
        <v>259.51001000000002</v>
      </c>
      <c r="D127">
        <v>259.51001000000002</v>
      </c>
      <c r="E127">
        <f t="shared" si="27"/>
        <v>1.0141071359306091</v>
      </c>
      <c r="F127">
        <f t="shared" si="19"/>
        <v>2.1242173774919575</v>
      </c>
      <c r="G127">
        <f t="shared" si="20"/>
        <v>1.4107135930609083E-2</v>
      </c>
      <c r="J127">
        <v>44.049999</v>
      </c>
      <c r="K127">
        <v>45.169998</v>
      </c>
      <c r="L127">
        <v>41.919651000000002</v>
      </c>
      <c r="M127">
        <f t="shared" si="28"/>
        <v>1.0150561785727268</v>
      </c>
      <c r="N127">
        <f t="shared" si="21"/>
        <v>1.4594392979468407</v>
      </c>
      <c r="O127">
        <f t="shared" si="15"/>
        <v>1.5056178572726786E-2</v>
      </c>
      <c r="R127">
        <f t="shared" si="16"/>
        <v>3.5836566754387982</v>
      </c>
      <c r="S127">
        <f t="shared" si="29"/>
        <v>1.449341797475312E-2</v>
      </c>
      <c r="W127">
        <f t="shared" si="17"/>
        <v>0.59275136260977324</v>
      </c>
      <c r="X127">
        <f t="shared" si="18"/>
        <v>0.40724863739022676</v>
      </c>
      <c r="Y127">
        <f t="shared" si="22"/>
        <v>1.4493417974753113E-2</v>
      </c>
      <c r="Z127">
        <f t="shared" si="23"/>
        <v>6.9388939039072284E-18</v>
      </c>
      <c r="AB127">
        <f t="shared" si="24"/>
        <v>1.4008556324012458E-2</v>
      </c>
      <c r="AC127">
        <f t="shared" si="25"/>
        <v>1.4943959309601461E-2</v>
      </c>
      <c r="AD127">
        <f t="shared" si="26"/>
        <v>1.4389392312713261E-2</v>
      </c>
    </row>
    <row r="128" spans="1:30" x14ac:dyDescent="0.3">
      <c r="A128" s="1">
        <v>44008</v>
      </c>
      <c r="B128">
        <v>260.51998900000001</v>
      </c>
      <c r="C128">
        <v>256.79998799999998</v>
      </c>
      <c r="D128">
        <v>256.79998799999998</v>
      </c>
      <c r="E128">
        <f t="shared" si="27"/>
        <v>0.98955715812272504</v>
      </c>
      <c r="F128">
        <f t="shared" si="19"/>
        <v>2.1020345113058494</v>
      </c>
      <c r="G128">
        <f t="shared" si="20"/>
        <v>-1.0442841877274955E-2</v>
      </c>
      <c r="J128">
        <v>44.880001</v>
      </c>
      <c r="K128">
        <v>43.619999</v>
      </c>
      <c r="L128">
        <v>40.481186000000001</v>
      </c>
      <c r="M128">
        <f t="shared" si="28"/>
        <v>0.96568518664432579</v>
      </c>
      <c r="N128">
        <f t="shared" si="21"/>
        <v>1.4093589108338587</v>
      </c>
      <c r="O128">
        <f t="shared" si="15"/>
        <v>-3.4314813355674212E-2</v>
      </c>
      <c r="R128">
        <f t="shared" si="16"/>
        <v>3.5113934221397081</v>
      </c>
      <c r="S128">
        <f t="shared" si="29"/>
        <v>-2.016466973367137E-2</v>
      </c>
      <c r="W128">
        <f t="shared" si="17"/>
        <v>0.59863258216874782</v>
      </c>
      <c r="X128">
        <f t="shared" si="18"/>
        <v>0.40136741783125218</v>
      </c>
      <c r="Y128">
        <f t="shared" si="22"/>
        <v>-2.0164669733671408E-2</v>
      </c>
      <c r="Z128">
        <f t="shared" si="23"/>
        <v>3.8163916471489756E-17</v>
      </c>
      <c r="AB128">
        <f t="shared" si="24"/>
        <v>-1.0497750956263381E-2</v>
      </c>
      <c r="AC128">
        <f t="shared" si="25"/>
        <v>-3.4917391627459056E-2</v>
      </c>
      <c r="AD128">
        <f t="shared" si="26"/>
        <v>-2.0370751776679699E-2</v>
      </c>
    </row>
    <row r="129" spans="1:30" x14ac:dyDescent="0.3">
      <c r="A129" s="1">
        <v>44011</v>
      </c>
      <c r="B129">
        <v>254.970001</v>
      </c>
      <c r="C129">
        <v>248.55999800000001</v>
      </c>
      <c r="D129">
        <v>248.55999800000001</v>
      </c>
      <c r="E129">
        <f t="shared" si="27"/>
        <v>0.96791281002707841</v>
      </c>
      <c r="F129">
        <f t="shared" si="19"/>
        <v>2.0345861306119413</v>
      </c>
      <c r="G129">
        <f t="shared" si="20"/>
        <v>-3.2087189972921593E-2</v>
      </c>
      <c r="J129">
        <v>43.810001</v>
      </c>
      <c r="K129">
        <v>44.32</v>
      </c>
      <c r="L129">
        <v>41.130817</v>
      </c>
      <c r="M129">
        <f t="shared" si="28"/>
        <v>1.0160477264673027</v>
      </c>
      <c r="N129">
        <f t="shared" si="21"/>
        <v>1.4319759171291762</v>
      </c>
      <c r="O129">
        <f t="shared" si="15"/>
        <v>1.6047726467302681E-2</v>
      </c>
      <c r="R129">
        <f t="shared" si="16"/>
        <v>3.4665620477411174</v>
      </c>
      <c r="S129">
        <f t="shared" si="29"/>
        <v>-1.2767402853785637E-2</v>
      </c>
      <c r="W129">
        <f t="shared" si="17"/>
        <v>0.58691755768159959</v>
      </c>
      <c r="X129">
        <f t="shared" si="18"/>
        <v>0.41308244231840041</v>
      </c>
      <c r="Y129">
        <f t="shared" si="22"/>
        <v>-1.2767402853785689E-2</v>
      </c>
      <c r="Z129">
        <f t="shared" si="23"/>
        <v>5.2041704279304213E-17</v>
      </c>
      <c r="AB129">
        <f t="shared" si="24"/>
        <v>-3.2613268048388024E-2</v>
      </c>
      <c r="AC129">
        <f t="shared" si="25"/>
        <v>1.5920322922397926E-2</v>
      </c>
      <c r="AD129">
        <f t="shared" si="26"/>
        <v>-1.2849606576505386E-2</v>
      </c>
    </row>
    <row r="130" spans="1:30" s="6" customFormat="1" x14ac:dyDescent="0.3">
      <c r="A130" s="5">
        <v>44012</v>
      </c>
      <c r="B130" s="6">
        <v>249.86999499999999</v>
      </c>
      <c r="C130" s="6">
        <v>253.53999300000001</v>
      </c>
      <c r="D130" s="6">
        <v>253.53999300000001</v>
      </c>
      <c r="E130" s="6">
        <f t="shared" si="27"/>
        <v>1.0200353839719616</v>
      </c>
      <c r="F130" s="6">
        <f t="shared" si="19"/>
        <v>2.075349844962779</v>
      </c>
      <c r="G130" s="6">
        <f t="shared" si="20"/>
        <v>2.0035383971961584E-2</v>
      </c>
      <c r="H130" s="7">
        <f>0.5*R130</f>
        <v>1.7601248530030751</v>
      </c>
      <c r="J130" s="6">
        <v>43.43</v>
      </c>
      <c r="K130" s="6">
        <v>44.720001000000003</v>
      </c>
      <c r="L130" s="6">
        <v>41.502032999999997</v>
      </c>
      <c r="M130" s="6">
        <f t="shared" si="28"/>
        <v>1.0090252522822485</v>
      </c>
      <c r="N130" s="6">
        <f t="shared" si="21"/>
        <v>1.4448998610433712</v>
      </c>
      <c r="O130" s="6">
        <f t="shared" si="15"/>
        <v>9.025252282248486E-3</v>
      </c>
      <c r="P130" s="7">
        <f>0.5*R130</f>
        <v>1.7601248530030751</v>
      </c>
      <c r="R130" s="6">
        <f t="shared" si="16"/>
        <v>3.5202497060061502</v>
      </c>
      <c r="S130" s="6">
        <f t="shared" si="29"/>
        <v>1.5487291883327758E-2</v>
      </c>
      <c r="U130" s="6">
        <f>F130/R130</f>
        <v>0.58954620219749643</v>
      </c>
      <c r="V130" s="6">
        <f>N130/R130</f>
        <v>0.41045379780250363</v>
      </c>
      <c r="W130" s="7">
        <v>0.5</v>
      </c>
      <c r="X130" s="7">
        <v>0.5</v>
      </c>
      <c r="Y130" s="6">
        <f t="shared" si="22"/>
        <v>1.548729188332768E-2</v>
      </c>
      <c r="Z130" s="6">
        <f t="shared" si="23"/>
        <v>7.8062556418956319E-17</v>
      </c>
      <c r="AB130" s="6">
        <f t="shared" si="24"/>
        <v>1.9837316863079518E-2</v>
      </c>
      <c r="AC130" s="6">
        <f t="shared" si="25"/>
        <v>8.984768097199192E-3</v>
      </c>
      <c r="AD130" s="6">
        <f t="shared" si="26"/>
        <v>1.5368587812611996E-2</v>
      </c>
    </row>
    <row r="131" spans="1:30" s="6" customFormat="1" x14ac:dyDescent="0.3">
      <c r="A131" s="5">
        <v>44013</v>
      </c>
      <c r="B131" s="6">
        <v>251.35000600000001</v>
      </c>
      <c r="C131" s="6">
        <v>259.13000499999998</v>
      </c>
      <c r="D131" s="6">
        <v>259.13000499999998</v>
      </c>
      <c r="E131" s="6">
        <f t="shared" si="27"/>
        <v>1.022047851046521</v>
      </c>
      <c r="F131" s="7">
        <f>H130*E131</f>
        <v>1.7989318235853664</v>
      </c>
      <c r="G131" s="6">
        <f t="shared" si="20"/>
        <v>2.2047851046520961E-2</v>
      </c>
      <c r="J131" s="6">
        <v>44.490001999999997</v>
      </c>
      <c r="K131" s="6">
        <v>43.709999000000003</v>
      </c>
      <c r="L131" s="6">
        <v>40.564712999999998</v>
      </c>
      <c r="M131" s="6">
        <f t="shared" si="28"/>
        <v>0.97741508229247465</v>
      </c>
      <c r="N131" s="7">
        <f>P130*M131</f>
        <v>1.7203725780430306</v>
      </c>
      <c r="O131" s="6">
        <f t="shared" si="15"/>
        <v>-2.2584917707525354E-2</v>
      </c>
      <c r="R131" s="6">
        <f t="shared" si="16"/>
        <v>3.5193044016283972</v>
      </c>
      <c r="S131" s="6">
        <f t="shared" si="29"/>
        <v>-2.685333305021409E-4</v>
      </c>
      <c r="W131" s="6">
        <f t="shared" si="17"/>
        <v>0.51116118933985732</v>
      </c>
      <c r="X131" s="6">
        <f t="shared" si="18"/>
        <v>0.48883881066014262</v>
      </c>
      <c r="Y131" s="7">
        <f t="shared" si="22"/>
        <v>-2.6853333050219641E-4</v>
      </c>
      <c r="Z131" s="6">
        <f t="shared" si="23"/>
        <v>5.5511151231257827E-17</v>
      </c>
      <c r="AB131" s="6">
        <f t="shared" si="24"/>
        <v>2.1808311670298761E-2</v>
      </c>
      <c r="AC131" s="6">
        <f t="shared" si="25"/>
        <v>-2.2843863231300367E-2</v>
      </c>
      <c r="AD131" s="6">
        <f t="shared" si="26"/>
        <v>-2.6856939203289597E-4</v>
      </c>
    </row>
    <row r="132" spans="1:30" x14ac:dyDescent="0.3">
      <c r="A132" s="1">
        <v>44014</v>
      </c>
      <c r="B132">
        <v>261</v>
      </c>
      <c r="C132">
        <v>261.73998999999998</v>
      </c>
      <c r="D132">
        <v>261.73998999999998</v>
      </c>
      <c r="E132">
        <f t="shared" si="27"/>
        <v>1.0100721064702638</v>
      </c>
      <c r="F132">
        <f t="shared" si="19"/>
        <v>1.8170508564452641</v>
      </c>
      <c r="G132">
        <f t="shared" si="20"/>
        <v>1.0072106470263797E-2</v>
      </c>
      <c r="J132">
        <v>44.619999</v>
      </c>
      <c r="K132">
        <v>44.080002</v>
      </c>
      <c r="L132">
        <v>40.908088999999997</v>
      </c>
      <c r="M132">
        <f t="shared" si="28"/>
        <v>1.0084648941063628</v>
      </c>
      <c r="N132">
        <f t="shared" si="21"/>
        <v>1.7349353497396551</v>
      </c>
      <c r="O132">
        <f t="shared" si="15"/>
        <v>8.4648941063627525E-3</v>
      </c>
      <c r="R132">
        <f t="shared" si="16"/>
        <v>3.5519862061849192</v>
      </c>
      <c r="S132">
        <f t="shared" si="29"/>
        <v>9.2864386898161566E-3</v>
      </c>
      <c r="W132">
        <f t="shared" si="17"/>
        <v>0.51155909707118585</v>
      </c>
      <c r="X132">
        <f t="shared" si="18"/>
        <v>0.4884409029288142</v>
      </c>
      <c r="Y132">
        <f t="shared" si="22"/>
        <v>9.2864386898161323E-3</v>
      </c>
      <c r="Z132">
        <f t="shared" si="23"/>
        <v>2.4286128663675299E-17</v>
      </c>
      <c r="AB132">
        <f t="shared" si="24"/>
        <v>1.0021720849657283E-2</v>
      </c>
      <c r="AC132">
        <f t="shared" si="25"/>
        <v>8.4292677976825527E-3</v>
      </c>
      <c r="AD132">
        <f t="shared" si="26"/>
        <v>9.2435848202989477E-3</v>
      </c>
    </row>
    <row r="133" spans="1:30" x14ac:dyDescent="0.3">
      <c r="A133" s="1">
        <v>44018</v>
      </c>
      <c r="B133">
        <v>265</v>
      </c>
      <c r="C133">
        <v>261</v>
      </c>
      <c r="D133">
        <v>261</v>
      </c>
      <c r="E133">
        <f t="shared" si="27"/>
        <v>0.99717280496572203</v>
      </c>
      <c r="F133">
        <f t="shared" si="19"/>
        <v>1.8119136992868916</v>
      </c>
      <c r="G133">
        <f t="shared" si="20"/>
        <v>-2.8271950342779739E-3</v>
      </c>
      <c r="J133">
        <v>44.669998</v>
      </c>
      <c r="K133">
        <v>44.389999000000003</v>
      </c>
      <c r="L133">
        <v>41.195782000000001</v>
      </c>
      <c r="M133">
        <f t="shared" si="28"/>
        <v>1.0070326677934041</v>
      </c>
      <c r="N133">
        <f t="shared" si="21"/>
        <v>1.7471365736974074</v>
      </c>
      <c r="O133">
        <f t="shared" si="15"/>
        <v>7.0326677934040571E-3</v>
      </c>
      <c r="R133">
        <f t="shared" si="16"/>
        <v>3.5590502729842992</v>
      </c>
      <c r="S133">
        <f t="shared" si="29"/>
        <v>1.9887652680292689E-3</v>
      </c>
      <c r="W133">
        <f t="shared" si="17"/>
        <v>0.50910033866073601</v>
      </c>
      <c r="X133">
        <f t="shared" si="18"/>
        <v>0.49089966133926394</v>
      </c>
      <c r="Y133">
        <f t="shared" si="22"/>
        <v>1.9887652680292884E-3</v>
      </c>
      <c r="Z133">
        <f t="shared" si="23"/>
        <v>1.951563910473908E-17</v>
      </c>
      <c r="AB133">
        <f t="shared" si="24"/>
        <v>-2.8311990987871486E-3</v>
      </c>
      <c r="AC133">
        <f t="shared" si="25"/>
        <v>7.0080539186817828E-3</v>
      </c>
      <c r="AD133">
        <f t="shared" si="26"/>
        <v>1.9867902924586489E-3</v>
      </c>
    </row>
    <row r="134" spans="1:30" x14ac:dyDescent="0.3">
      <c r="A134" s="1">
        <v>44019</v>
      </c>
      <c r="B134">
        <v>261.54998799999998</v>
      </c>
      <c r="C134">
        <v>262.10000600000001</v>
      </c>
      <c r="D134">
        <v>262.10000600000001</v>
      </c>
      <c r="E134">
        <f t="shared" si="27"/>
        <v>1.0042145823754789</v>
      </c>
      <c r="F134">
        <f t="shared" si="19"/>
        <v>1.8195501588297949</v>
      </c>
      <c r="G134">
        <f t="shared" si="20"/>
        <v>4.2145823754788925E-3</v>
      </c>
      <c r="J134">
        <v>43.900002000000001</v>
      </c>
      <c r="K134">
        <v>43.240001999999997</v>
      </c>
      <c r="L134">
        <v>40.128532</v>
      </c>
      <c r="M134">
        <f t="shared" si="28"/>
        <v>0.97409322148563648</v>
      </c>
      <c r="N134">
        <f t="shared" si="21"/>
        <v>1.7018738934482847</v>
      </c>
      <c r="O134">
        <f t="shared" ref="O134:O197" si="30">M134-1</f>
        <v>-2.5906778514363515E-2</v>
      </c>
      <c r="R134">
        <f t="shared" ref="R134:R197" si="31">F134+N134</f>
        <v>3.5214240522780793</v>
      </c>
      <c r="S134">
        <f t="shared" si="29"/>
        <v>-1.0571983484422676E-2</v>
      </c>
      <c r="W134">
        <f t="shared" ref="W134:W197" si="32">F134/R134</f>
        <v>0.51670861896132381</v>
      </c>
      <c r="X134">
        <f t="shared" ref="X134:X197" si="33">N134/R134</f>
        <v>0.48329138103867625</v>
      </c>
      <c r="Y134">
        <f t="shared" si="22"/>
        <v>-1.0571983484422495E-2</v>
      </c>
      <c r="Z134">
        <f t="shared" si="23"/>
        <v>1.8041124150158794E-16</v>
      </c>
      <c r="AB134">
        <f t="shared" si="24"/>
        <v>4.2057258986928948E-3</v>
      </c>
      <c r="AC134">
        <f t="shared" si="25"/>
        <v>-2.6248269975321131E-2</v>
      </c>
      <c r="AD134">
        <f t="shared" si="26"/>
        <v>-1.0628263917134485E-2</v>
      </c>
    </row>
    <row r="135" spans="1:30" x14ac:dyDescent="0.3">
      <c r="A135" s="1">
        <v>44020</v>
      </c>
      <c r="B135">
        <v>263.79998799999998</v>
      </c>
      <c r="C135">
        <v>266.32000699999998</v>
      </c>
      <c r="D135">
        <v>266.32000699999998</v>
      </c>
      <c r="E135">
        <f t="shared" si="27"/>
        <v>1.0161007283609143</v>
      </c>
      <c r="F135">
        <f t="shared" ref="F135:F198" si="34">F134*E135</f>
        <v>1.8488462416761717</v>
      </c>
      <c r="G135">
        <f t="shared" ref="G135:G198" si="35">E135-1</f>
        <v>1.6100728360914252E-2</v>
      </c>
      <c r="J135">
        <v>43.150002000000001</v>
      </c>
      <c r="K135">
        <v>43.139999000000003</v>
      </c>
      <c r="L135">
        <v>40.035727999999999</v>
      </c>
      <c r="M135">
        <f t="shared" si="28"/>
        <v>0.99768733129833898</v>
      </c>
      <c r="N135">
        <f t="shared" ref="N135:N198" si="36">N134*M135</f>
        <v>1.6979380229607328</v>
      </c>
      <c r="O135">
        <f t="shared" si="30"/>
        <v>-2.3126687016610248E-3</v>
      </c>
      <c r="R135">
        <f t="shared" si="31"/>
        <v>3.5467842646369045</v>
      </c>
      <c r="S135">
        <f t="shared" si="29"/>
        <v>7.2016922649287274E-3</v>
      </c>
      <c r="W135">
        <f t="shared" si="32"/>
        <v>0.52127394950689054</v>
      </c>
      <c r="X135">
        <f t="shared" si="33"/>
        <v>0.47872605049310946</v>
      </c>
      <c r="Y135">
        <f t="shared" ref="Y135:Y198" si="37">W134*G135+X134*O135</f>
        <v>7.201692264928743E-3</v>
      </c>
      <c r="Z135">
        <f t="shared" ref="Z135:Z198" si="38">ABS(Y135-S135)</f>
        <v>1.5612511283791264E-17</v>
      </c>
      <c r="AB135">
        <f t="shared" ref="AB135:AB198" si="39">LN(1+G135)</f>
        <v>1.597248632955222E-2</v>
      </c>
      <c r="AC135">
        <f t="shared" ref="AC135:AC198" si="40">LN(1+O135)</f>
        <v>-2.3153470501414632E-3</v>
      </c>
      <c r="AD135">
        <f t="shared" ref="AD135:AD198" si="41">LN(1+S135)</f>
        <v>7.1758839143100141E-3</v>
      </c>
    </row>
    <row r="136" spans="1:30" x14ac:dyDescent="0.3">
      <c r="A136" s="1">
        <v>44021</v>
      </c>
      <c r="B136">
        <v>269.01001000000002</v>
      </c>
      <c r="C136">
        <v>269.51998900000001</v>
      </c>
      <c r="D136">
        <v>269.51998900000001</v>
      </c>
      <c r="E136">
        <f t="shared" ref="E136:E199" si="42">D136/D135</f>
        <v>1.0120155524027155</v>
      </c>
      <c r="F136">
        <f t="shared" si="34"/>
        <v>1.8710611505775954</v>
      </c>
      <c r="G136">
        <f t="shared" si="35"/>
        <v>1.2015552402715457E-2</v>
      </c>
      <c r="J136">
        <v>42.900002000000001</v>
      </c>
      <c r="K136">
        <v>41.360000999999997</v>
      </c>
      <c r="L136">
        <v>38.383816000000003</v>
      </c>
      <c r="M136">
        <f t="shared" ref="M136:M199" si="43">L136/L135</f>
        <v>0.95873905427672013</v>
      </c>
      <c r="N136">
        <f t="shared" si="36"/>
        <v>1.6278794943538568</v>
      </c>
      <c r="O136">
        <f t="shared" si="30"/>
        <v>-4.1260945723279874E-2</v>
      </c>
      <c r="R136">
        <f t="shared" si="31"/>
        <v>3.4989406449314524</v>
      </c>
      <c r="S136">
        <f t="shared" ref="S136:S199" si="44">(R136/R135)-1</f>
        <v>-1.3489295129245793E-2</v>
      </c>
      <c r="W136">
        <f t="shared" si="32"/>
        <v>0.53475075471428901</v>
      </c>
      <c r="X136">
        <f t="shared" si="33"/>
        <v>0.46524924528571093</v>
      </c>
      <c r="Y136">
        <f t="shared" si="37"/>
        <v>-1.3489295129245835E-2</v>
      </c>
      <c r="Z136">
        <f t="shared" si="38"/>
        <v>4.163336342344337E-17</v>
      </c>
      <c r="AB136">
        <f t="shared" si="39"/>
        <v>1.1943938734060482E-2</v>
      </c>
      <c r="AC136">
        <f t="shared" si="40"/>
        <v>-4.2136343026368268E-2</v>
      </c>
      <c r="AD136">
        <f t="shared" si="41"/>
        <v>-1.3581102214172133E-2</v>
      </c>
    </row>
    <row r="137" spans="1:30" x14ac:dyDescent="0.3">
      <c r="A137" s="1">
        <v>44022</v>
      </c>
      <c r="B137">
        <v>271.76998900000001</v>
      </c>
      <c r="C137">
        <v>275.86999500000002</v>
      </c>
      <c r="D137">
        <v>275.86999500000002</v>
      </c>
      <c r="E137">
        <f t="shared" si="42"/>
        <v>1.0235604269039948</v>
      </c>
      <c r="F137">
        <f t="shared" si="34"/>
        <v>1.9151441500486832</v>
      </c>
      <c r="G137">
        <f t="shared" si="35"/>
        <v>2.3560426903994847E-2</v>
      </c>
      <c r="J137">
        <v>41.119999</v>
      </c>
      <c r="K137">
        <v>42.650002000000001</v>
      </c>
      <c r="L137">
        <v>39.58099</v>
      </c>
      <c r="M137">
        <f t="shared" si="43"/>
        <v>1.0311895513463278</v>
      </c>
      <c r="N137">
        <f t="shared" si="36"/>
        <v>1.6786523254286407</v>
      </c>
      <c r="O137">
        <f t="shared" si="30"/>
        <v>3.1189551346327837E-2</v>
      </c>
      <c r="R137">
        <f t="shared" si="31"/>
        <v>3.5937964754773239</v>
      </c>
      <c r="S137">
        <f t="shared" si="44"/>
        <v>2.7109871292980925E-2</v>
      </c>
      <c r="W137">
        <f t="shared" si="32"/>
        <v>0.53290278487301257</v>
      </c>
      <c r="X137">
        <f t="shared" si="33"/>
        <v>0.46709721512698743</v>
      </c>
      <c r="Y137">
        <f t="shared" si="37"/>
        <v>2.7109871292981039E-2</v>
      </c>
      <c r="Z137">
        <f t="shared" si="38"/>
        <v>1.1449174941446927E-16</v>
      </c>
      <c r="AB137">
        <f t="shared" si="39"/>
        <v>2.3287163852747636E-2</v>
      </c>
      <c r="AC137">
        <f t="shared" si="40"/>
        <v>3.0713040072429299E-2</v>
      </c>
      <c r="AD137">
        <f t="shared" si="41"/>
        <v>2.6748907982675374E-2</v>
      </c>
    </row>
    <row r="138" spans="1:30" x14ac:dyDescent="0.3">
      <c r="A138" s="1">
        <v>44025</v>
      </c>
      <c r="B138">
        <v>278.63000499999998</v>
      </c>
      <c r="C138">
        <v>260.29998799999998</v>
      </c>
      <c r="D138">
        <v>260.29998799999998</v>
      </c>
      <c r="E138">
        <f t="shared" si="42"/>
        <v>0.94356034624207674</v>
      </c>
      <c r="F138">
        <f t="shared" si="34"/>
        <v>1.8070540773234234</v>
      </c>
      <c r="G138">
        <f t="shared" si="35"/>
        <v>-5.6439653757923258E-2</v>
      </c>
      <c r="J138">
        <v>42.98</v>
      </c>
      <c r="K138">
        <v>42.66</v>
      </c>
      <c r="L138">
        <v>39.590266999999997</v>
      </c>
      <c r="M138">
        <f t="shared" si="43"/>
        <v>1.0002343801910967</v>
      </c>
      <c r="N138">
        <f t="shared" si="36"/>
        <v>1.6790457682814597</v>
      </c>
      <c r="O138">
        <f t="shared" si="30"/>
        <v>2.3438019109667252E-4</v>
      </c>
      <c r="R138">
        <f t="shared" si="31"/>
        <v>3.4860998456048833</v>
      </c>
      <c r="S138">
        <f t="shared" si="44"/>
        <v>-2.9967370330323595E-2</v>
      </c>
      <c r="W138">
        <f t="shared" si="32"/>
        <v>0.51835981680262977</v>
      </c>
      <c r="X138">
        <f t="shared" si="33"/>
        <v>0.48164018319737012</v>
      </c>
      <c r="Y138">
        <f t="shared" si="37"/>
        <v>-2.9967370330323709E-2</v>
      </c>
      <c r="Z138">
        <f t="shared" si="38"/>
        <v>1.1449174941446927E-16</v>
      </c>
      <c r="AB138">
        <f t="shared" si="39"/>
        <v>-5.8094956237881079E-2</v>
      </c>
      <c r="AC138">
        <f t="shared" si="40"/>
        <v>2.3435272835074856E-4</v>
      </c>
      <c r="AD138">
        <f t="shared" si="41"/>
        <v>-3.0425569215763514E-2</v>
      </c>
    </row>
    <row r="139" spans="1:30" x14ac:dyDescent="0.3">
      <c r="A139" s="1">
        <v>44026</v>
      </c>
      <c r="B139">
        <v>260.959991</v>
      </c>
      <c r="C139">
        <v>260.01001000000002</v>
      </c>
      <c r="D139">
        <v>260.01001000000002</v>
      </c>
      <c r="E139">
        <f t="shared" si="42"/>
        <v>0.9988859853501032</v>
      </c>
      <c r="F139">
        <f t="shared" si="34"/>
        <v>1.8050409926081294</v>
      </c>
      <c r="G139">
        <f t="shared" si="35"/>
        <v>-1.1140146498967995E-3</v>
      </c>
      <c r="J139">
        <v>42.529998999999997</v>
      </c>
      <c r="K139">
        <v>44.07</v>
      </c>
      <c r="L139">
        <v>40.898808000000002</v>
      </c>
      <c r="M139">
        <f t="shared" si="43"/>
        <v>1.0330520882822034</v>
      </c>
      <c r="N139">
        <f t="shared" si="36"/>
        <v>1.7345417372445586</v>
      </c>
      <c r="O139">
        <f t="shared" si="30"/>
        <v>3.3052088282203407E-2</v>
      </c>
      <c r="R139">
        <f t="shared" si="31"/>
        <v>3.5395827298526878</v>
      </c>
      <c r="S139">
        <f t="shared" si="44"/>
        <v>1.534175342546007E-2</v>
      </c>
      <c r="W139">
        <f t="shared" si="32"/>
        <v>0.50995869580459063</v>
      </c>
      <c r="X139">
        <f t="shared" si="33"/>
        <v>0.49004130419540942</v>
      </c>
      <c r="Y139">
        <f t="shared" si="37"/>
        <v>1.5341753425460149E-2</v>
      </c>
      <c r="Z139">
        <f t="shared" si="38"/>
        <v>7.9797279894933126E-17</v>
      </c>
      <c r="AB139">
        <f t="shared" si="39"/>
        <v>-1.1146356254436354E-3</v>
      </c>
      <c r="AC139">
        <f t="shared" si="40"/>
        <v>3.2517613147172802E-2</v>
      </c>
      <c r="AD139">
        <f t="shared" si="41"/>
        <v>1.5225258704282534E-2</v>
      </c>
    </row>
    <row r="140" spans="1:30" x14ac:dyDescent="0.3">
      <c r="A140" s="1">
        <v>44027</v>
      </c>
      <c r="B140">
        <v>253.699997</v>
      </c>
      <c r="C140">
        <v>256.22000100000002</v>
      </c>
      <c r="D140">
        <v>256.22000100000002</v>
      </c>
      <c r="E140">
        <f t="shared" si="42"/>
        <v>0.98542360349895763</v>
      </c>
      <c r="F140">
        <f t="shared" si="34"/>
        <v>1.7787299993992383</v>
      </c>
      <c r="G140">
        <f t="shared" si="35"/>
        <v>-1.4576396501042366E-2</v>
      </c>
      <c r="J140">
        <v>45.029998999999997</v>
      </c>
      <c r="K140">
        <v>44.630001</v>
      </c>
      <c r="L140">
        <v>41.418506999999998</v>
      </c>
      <c r="M140">
        <f t="shared" si="43"/>
        <v>1.0127069473516195</v>
      </c>
      <c r="N140">
        <f t="shared" si="36"/>
        <v>1.7565824677789119</v>
      </c>
      <c r="O140">
        <f t="shared" si="30"/>
        <v>1.270694735161948E-2</v>
      </c>
      <c r="R140">
        <f t="shared" si="31"/>
        <v>3.5353124671781502</v>
      </c>
      <c r="S140">
        <f t="shared" si="44"/>
        <v>-1.206431096672067E-3</v>
      </c>
      <c r="W140">
        <f t="shared" si="32"/>
        <v>0.50313233014421554</v>
      </c>
      <c r="X140">
        <f t="shared" si="33"/>
        <v>0.49686766985578446</v>
      </c>
      <c r="Y140">
        <f t="shared" si="37"/>
        <v>-1.2064310966721494E-3</v>
      </c>
      <c r="Z140">
        <f t="shared" si="38"/>
        <v>8.2399365108898337E-17</v>
      </c>
      <c r="AB140">
        <f t="shared" si="39"/>
        <v>-1.4683675943238118E-2</v>
      </c>
      <c r="AC140">
        <f t="shared" si="40"/>
        <v>1.2626891559310899E-2</v>
      </c>
      <c r="AD140">
        <f t="shared" si="41"/>
        <v>-1.2071594205081886E-3</v>
      </c>
    </row>
    <row r="141" spans="1:30" x14ac:dyDescent="0.3">
      <c r="A141" s="1">
        <v>44028</v>
      </c>
      <c r="B141">
        <v>250.38999899999999</v>
      </c>
      <c r="C141">
        <v>248.53999300000001</v>
      </c>
      <c r="D141">
        <v>248.53999300000001</v>
      </c>
      <c r="E141">
        <f t="shared" si="42"/>
        <v>0.97002572800708087</v>
      </c>
      <c r="F141">
        <f t="shared" si="34"/>
        <v>1.7254138625952806</v>
      </c>
      <c r="G141">
        <f t="shared" si="35"/>
        <v>-2.9974271992919133E-2</v>
      </c>
      <c r="J141">
        <v>44.310001</v>
      </c>
      <c r="K141">
        <v>44.279998999999997</v>
      </c>
      <c r="L141">
        <v>41.093696999999999</v>
      </c>
      <c r="M141">
        <f t="shared" si="43"/>
        <v>0.99215785349288421</v>
      </c>
      <c r="N141">
        <f t="shared" si="36"/>
        <v>1.7428070907147586</v>
      </c>
      <c r="O141">
        <f t="shared" si="30"/>
        <v>-7.8421465071157881E-3</v>
      </c>
      <c r="R141">
        <f t="shared" si="31"/>
        <v>3.4682209533100394</v>
      </c>
      <c r="S141">
        <f t="shared" si="44"/>
        <v>-1.8977534373832206E-2</v>
      </c>
      <c r="W141">
        <f t="shared" si="32"/>
        <v>0.49749248557781789</v>
      </c>
      <c r="X141">
        <f t="shared" si="33"/>
        <v>0.502507514422182</v>
      </c>
      <c r="Y141">
        <f t="shared" si="37"/>
        <v>-1.8977534373832202E-2</v>
      </c>
      <c r="Z141">
        <f t="shared" si="38"/>
        <v>3.4694469519536142E-18</v>
      </c>
      <c r="AB141">
        <f t="shared" si="39"/>
        <v>-3.0432684117816081E-2</v>
      </c>
      <c r="AC141">
        <f t="shared" si="40"/>
        <v>-7.8730578516200099E-3</v>
      </c>
      <c r="AD141">
        <f t="shared" si="41"/>
        <v>-1.915991893875971E-2</v>
      </c>
    </row>
    <row r="142" spans="1:30" x14ac:dyDescent="0.3">
      <c r="A142" s="1">
        <v>44029</v>
      </c>
      <c r="B142">
        <v>247.16999799999999</v>
      </c>
      <c r="C142">
        <v>246.53999300000001</v>
      </c>
      <c r="D142">
        <v>246.53999300000001</v>
      </c>
      <c r="E142">
        <f t="shared" si="42"/>
        <v>0.99195300532578679</v>
      </c>
      <c r="F142">
        <f t="shared" si="34"/>
        <v>1.7115294664321627</v>
      </c>
      <c r="G142">
        <f t="shared" si="35"/>
        <v>-8.0469946742132148E-3</v>
      </c>
      <c r="J142">
        <v>44.330002</v>
      </c>
      <c r="K142">
        <v>43.52</v>
      </c>
      <c r="L142">
        <v>40.388382</v>
      </c>
      <c r="M142">
        <f t="shared" si="43"/>
        <v>0.98283641892818752</v>
      </c>
      <c r="N142">
        <f t="shared" si="36"/>
        <v>1.7128942799207463</v>
      </c>
      <c r="O142">
        <f t="shared" si="30"/>
        <v>-1.7163581071812484E-2</v>
      </c>
      <c r="R142">
        <f t="shared" si="31"/>
        <v>3.4244237463529092</v>
      </c>
      <c r="S142">
        <f t="shared" si="44"/>
        <v>-1.2628147844885862E-2</v>
      </c>
      <c r="W142">
        <f t="shared" si="32"/>
        <v>0.49980072362685296</v>
      </c>
      <c r="X142">
        <f t="shared" si="33"/>
        <v>0.50019927637314698</v>
      </c>
      <c r="Y142">
        <f t="shared" si="37"/>
        <v>-1.2628147844885897E-2</v>
      </c>
      <c r="Z142">
        <f t="shared" si="38"/>
        <v>3.4694469519536142E-17</v>
      </c>
      <c r="AB142">
        <f t="shared" si="39"/>
        <v>-8.0795464829530837E-3</v>
      </c>
      <c r="AC142">
        <f t="shared" si="40"/>
        <v>-1.7312582725193502E-2</v>
      </c>
      <c r="AD142">
        <f t="shared" si="41"/>
        <v>-1.2708560597215805E-2</v>
      </c>
    </row>
    <row r="143" spans="1:30" x14ac:dyDescent="0.3">
      <c r="A143" s="1">
        <v>44032</v>
      </c>
      <c r="B143">
        <v>246.48699999999999</v>
      </c>
      <c r="C143">
        <v>268.57998700000002</v>
      </c>
      <c r="D143">
        <v>268.57998700000002</v>
      </c>
      <c r="E143">
        <f t="shared" si="42"/>
        <v>1.0893972362528623</v>
      </c>
      <c r="F143">
        <f t="shared" si="34"/>
        <v>1.8645354704965342</v>
      </c>
      <c r="G143">
        <f t="shared" si="35"/>
        <v>8.9397236252862333E-2</v>
      </c>
      <c r="J143">
        <v>43.209999000000003</v>
      </c>
      <c r="K143">
        <v>42.5</v>
      </c>
      <c r="L143">
        <v>39.441780000000001</v>
      </c>
      <c r="M143">
        <f t="shared" si="43"/>
        <v>0.97656251740909061</v>
      </c>
      <c r="N143">
        <f t="shared" si="36"/>
        <v>1.6727483500550355</v>
      </c>
      <c r="O143">
        <f t="shared" si="30"/>
        <v>-2.3437482590909386E-2</v>
      </c>
      <c r="R143">
        <f t="shared" si="31"/>
        <v>3.5372838205515698</v>
      </c>
      <c r="S143">
        <f t="shared" si="44"/>
        <v>3.295739153744015E-2</v>
      </c>
      <c r="W143">
        <f t="shared" si="32"/>
        <v>0.52710937687940362</v>
      </c>
      <c r="X143">
        <f t="shared" si="33"/>
        <v>0.47289062312059632</v>
      </c>
      <c r="Y143">
        <f t="shared" si="37"/>
        <v>3.295739153744022E-2</v>
      </c>
      <c r="Z143">
        <f t="shared" si="38"/>
        <v>6.9388939039072284E-17</v>
      </c>
      <c r="AB143">
        <f t="shared" si="39"/>
        <v>8.5624549019903157E-2</v>
      </c>
      <c r="AC143">
        <f t="shared" si="40"/>
        <v>-2.3716508790407414E-2</v>
      </c>
      <c r="AD143">
        <f t="shared" si="41"/>
        <v>3.242594198520133E-2</v>
      </c>
    </row>
    <row r="144" spans="1:30" x14ac:dyDescent="0.3">
      <c r="A144" s="1">
        <v>44033</v>
      </c>
      <c r="B144">
        <v>268.75</v>
      </c>
      <c r="C144">
        <v>260.44000199999999</v>
      </c>
      <c r="D144">
        <v>260.44000199999999</v>
      </c>
      <c r="E144">
        <f t="shared" si="42"/>
        <v>0.96969251100604148</v>
      </c>
      <c r="F144">
        <f t="shared" si="34"/>
        <v>1.8080260822456153</v>
      </c>
      <c r="G144">
        <f t="shared" si="35"/>
        <v>-3.030748899395852E-2</v>
      </c>
      <c r="J144">
        <v>43.150002000000001</v>
      </c>
      <c r="K144">
        <v>44.650002000000001</v>
      </c>
      <c r="L144">
        <v>41.437072999999998</v>
      </c>
      <c r="M144">
        <f t="shared" si="43"/>
        <v>1.0505883101624722</v>
      </c>
      <c r="N144">
        <f t="shared" si="36"/>
        <v>1.7573698624113834</v>
      </c>
      <c r="O144">
        <f t="shared" si="30"/>
        <v>5.0588310162472228E-2</v>
      </c>
      <c r="R144">
        <f t="shared" si="31"/>
        <v>3.5653959446569985</v>
      </c>
      <c r="S144">
        <f t="shared" si="44"/>
        <v>7.9473758769645908E-3</v>
      </c>
      <c r="W144">
        <f t="shared" si="32"/>
        <v>0.50710387017606617</v>
      </c>
      <c r="X144">
        <f t="shared" si="33"/>
        <v>0.49289612982393388</v>
      </c>
      <c r="Y144">
        <f t="shared" si="37"/>
        <v>7.947375876964629E-3</v>
      </c>
      <c r="Z144">
        <f t="shared" si="38"/>
        <v>3.8163916471489756E-17</v>
      </c>
      <c r="AB144">
        <f t="shared" si="39"/>
        <v>-3.0776256702344362E-2</v>
      </c>
      <c r="AC144">
        <f t="shared" si="40"/>
        <v>4.9350302655405805E-2</v>
      </c>
      <c r="AD144">
        <f t="shared" si="41"/>
        <v>7.915961815106334E-3</v>
      </c>
    </row>
    <row r="145" spans="1:30" x14ac:dyDescent="0.3">
      <c r="A145" s="1">
        <v>44034</v>
      </c>
      <c r="B145">
        <v>261.95001200000002</v>
      </c>
      <c r="C145">
        <v>261.17999300000002</v>
      </c>
      <c r="D145">
        <v>261.17999300000002</v>
      </c>
      <c r="E145">
        <f t="shared" si="42"/>
        <v>1.0028413108367278</v>
      </c>
      <c r="F145">
        <f t="shared" si="34"/>
        <v>1.8131632463461862</v>
      </c>
      <c r="G145">
        <f t="shared" si="35"/>
        <v>2.841310836727784E-3</v>
      </c>
      <c r="J145">
        <v>44.150002000000001</v>
      </c>
      <c r="K145">
        <v>43.610000999999997</v>
      </c>
      <c r="L145">
        <v>40.471908999999997</v>
      </c>
      <c r="M145">
        <f t="shared" si="43"/>
        <v>0.97670771774830711</v>
      </c>
      <c r="N145">
        <f t="shared" si="36"/>
        <v>1.7164367075554787</v>
      </c>
      <c r="O145">
        <f t="shared" si="30"/>
        <v>-2.3292282251692886E-2</v>
      </c>
      <c r="R145">
        <f t="shared" si="31"/>
        <v>3.5295999539016649</v>
      </c>
      <c r="S145">
        <f t="shared" si="44"/>
        <v>-1.0039836054948292E-2</v>
      </c>
      <c r="W145">
        <f t="shared" si="32"/>
        <v>0.51370219572387865</v>
      </c>
      <c r="X145">
        <f t="shared" si="33"/>
        <v>0.48629780427612135</v>
      </c>
      <c r="Y145">
        <f t="shared" si="37"/>
        <v>-1.0039836054948272E-2</v>
      </c>
      <c r="Z145">
        <f t="shared" si="38"/>
        <v>2.0816681711721685E-17</v>
      </c>
      <c r="AB145">
        <f t="shared" si="39"/>
        <v>2.8372819428479881E-3</v>
      </c>
      <c r="AC145">
        <f t="shared" si="40"/>
        <v>-2.3567834698240888E-2</v>
      </c>
      <c r="AD145">
        <f t="shared" si="41"/>
        <v>-1.0090575102430869E-2</v>
      </c>
    </row>
    <row r="146" spans="1:30" x14ac:dyDescent="0.3">
      <c r="A146" s="1">
        <v>44035</v>
      </c>
      <c r="B146">
        <v>260.83999599999999</v>
      </c>
      <c r="C146">
        <v>251.5</v>
      </c>
      <c r="D146">
        <v>251.5</v>
      </c>
      <c r="E146">
        <f t="shared" si="42"/>
        <v>0.96293746359048249</v>
      </c>
      <c r="F146">
        <f t="shared" si="34"/>
        <v>1.7459628175120816</v>
      </c>
      <c r="G146">
        <f t="shared" si="35"/>
        <v>-3.706253640951751E-2</v>
      </c>
      <c r="J146">
        <v>43.400002000000001</v>
      </c>
      <c r="K146">
        <v>43.700001</v>
      </c>
      <c r="L146">
        <v>40.555430999999999</v>
      </c>
      <c r="M146">
        <f t="shared" si="43"/>
        <v>1.0020637029995298</v>
      </c>
      <c r="N146">
        <f t="shared" si="36"/>
        <v>1.7199789231373641</v>
      </c>
      <c r="O146">
        <f t="shared" si="30"/>
        <v>2.0637029995298484E-3</v>
      </c>
      <c r="R146">
        <f t="shared" si="31"/>
        <v>3.4659417406494457</v>
      </c>
      <c r="S146">
        <f t="shared" si="44"/>
        <v>-1.8035532095315943E-2</v>
      </c>
      <c r="W146">
        <f t="shared" si="32"/>
        <v>0.50374846092621406</v>
      </c>
      <c r="X146">
        <f t="shared" si="33"/>
        <v>0.49625153907378594</v>
      </c>
      <c r="Y146">
        <f t="shared" si="37"/>
        <v>-1.8035532095315932E-2</v>
      </c>
      <c r="Z146">
        <f t="shared" si="38"/>
        <v>1.0408340855860843E-17</v>
      </c>
      <c r="AB146">
        <f t="shared" si="39"/>
        <v>-3.7766808451027409E-2</v>
      </c>
      <c r="AC146">
        <f t="shared" si="40"/>
        <v>2.0615764896486735E-3</v>
      </c>
      <c r="AD146">
        <f t="shared" si="41"/>
        <v>-1.8200154678758126E-2</v>
      </c>
    </row>
    <row r="147" spans="1:30" x14ac:dyDescent="0.3">
      <c r="A147" s="1">
        <v>44036</v>
      </c>
      <c r="B147">
        <v>246.199997</v>
      </c>
      <c r="C147">
        <v>246.55999800000001</v>
      </c>
      <c r="D147">
        <v>246.55999800000001</v>
      </c>
      <c r="E147">
        <f t="shared" si="42"/>
        <v>0.98035784493041755</v>
      </c>
      <c r="F147">
        <f t="shared" si="34"/>
        <v>1.7116683451047843</v>
      </c>
      <c r="G147">
        <f t="shared" si="35"/>
        <v>-1.9642155069582445E-2</v>
      </c>
      <c r="J147">
        <v>43.880001</v>
      </c>
      <c r="K147">
        <v>43.43</v>
      </c>
      <c r="L147">
        <v>40.304862999999997</v>
      </c>
      <c r="M147">
        <f t="shared" si="43"/>
        <v>0.99382159198357423</v>
      </c>
      <c r="N147">
        <f t="shared" si="36"/>
        <v>1.7093521915705689</v>
      </c>
      <c r="O147">
        <f t="shared" si="30"/>
        <v>-6.1784080164257738E-3</v>
      </c>
      <c r="R147">
        <f t="shared" si="31"/>
        <v>3.4210205366753534</v>
      </c>
      <c r="S147">
        <f t="shared" si="44"/>
        <v>-1.2960749872753197E-2</v>
      </c>
      <c r="W147">
        <f t="shared" si="32"/>
        <v>0.50033851792314377</v>
      </c>
      <c r="X147">
        <f t="shared" si="33"/>
        <v>0.49966148207685618</v>
      </c>
      <c r="Y147">
        <f t="shared" si="37"/>
        <v>-1.2960749872753297E-2</v>
      </c>
      <c r="Z147">
        <f t="shared" si="38"/>
        <v>1.0061396160665481E-16</v>
      </c>
      <c r="AB147">
        <f t="shared" si="39"/>
        <v>-1.9837626079604084E-2</v>
      </c>
      <c r="AC147">
        <f t="shared" si="40"/>
        <v>-6.1975733608916261E-3</v>
      </c>
      <c r="AD147">
        <f t="shared" si="41"/>
        <v>-1.3045473239804775E-2</v>
      </c>
    </row>
    <row r="148" spans="1:30" x14ac:dyDescent="0.3">
      <c r="A148" s="1">
        <v>44039</v>
      </c>
      <c r="B148">
        <v>249.279999</v>
      </c>
      <c r="C148">
        <v>252.33000200000001</v>
      </c>
      <c r="D148">
        <v>252.33000200000001</v>
      </c>
      <c r="E148">
        <f t="shared" si="42"/>
        <v>1.0234020280937868</v>
      </c>
      <c r="F148">
        <f t="shared" si="34"/>
        <v>1.751724855804172</v>
      </c>
      <c r="G148">
        <f t="shared" si="35"/>
        <v>2.3402028093786775E-2</v>
      </c>
      <c r="J148">
        <v>43.23</v>
      </c>
      <c r="K148">
        <v>44.07</v>
      </c>
      <c r="L148">
        <v>40.898808000000002</v>
      </c>
      <c r="M148">
        <f t="shared" si="43"/>
        <v>1.0147363110997303</v>
      </c>
      <c r="N148">
        <f t="shared" si="36"/>
        <v>1.7345417372445586</v>
      </c>
      <c r="O148">
        <f t="shared" si="30"/>
        <v>1.4736311099730282E-2</v>
      </c>
      <c r="R148">
        <f t="shared" si="31"/>
        <v>3.4862665930487307</v>
      </c>
      <c r="S148">
        <f t="shared" si="44"/>
        <v>1.9072103097277804E-2</v>
      </c>
      <c r="W148">
        <f t="shared" si="32"/>
        <v>0.50246440111520374</v>
      </c>
      <c r="X148">
        <f t="shared" si="33"/>
        <v>0.49753559888479632</v>
      </c>
      <c r="Y148">
        <f t="shared" si="37"/>
        <v>1.9072103097277908E-2</v>
      </c>
      <c r="Z148">
        <f t="shared" si="38"/>
        <v>1.0408340855860843E-16</v>
      </c>
      <c r="AB148">
        <f t="shared" si="39"/>
        <v>2.3132399108394364E-2</v>
      </c>
      <c r="AC148">
        <f t="shared" si="40"/>
        <v>1.4628786721987912E-2</v>
      </c>
      <c r="AD148">
        <f t="shared" si="41"/>
        <v>1.8892510419624125E-2</v>
      </c>
    </row>
    <row r="149" spans="1:30" x14ac:dyDescent="0.3">
      <c r="A149" s="1">
        <v>44040</v>
      </c>
      <c r="B149">
        <v>252.699997</v>
      </c>
      <c r="C149">
        <v>252.179993</v>
      </c>
      <c r="D149">
        <v>252.179993</v>
      </c>
      <c r="E149">
        <f t="shared" si="42"/>
        <v>0.99940550470094314</v>
      </c>
      <c r="F149">
        <f t="shared" si="34"/>
        <v>1.7506834636121553</v>
      </c>
      <c r="G149">
        <f t="shared" si="35"/>
        <v>-5.9449529905686305E-4</v>
      </c>
      <c r="J149">
        <v>43.91</v>
      </c>
      <c r="K149">
        <v>43.549999</v>
      </c>
      <c r="L149">
        <v>40.416224999999997</v>
      </c>
      <c r="M149">
        <f t="shared" si="43"/>
        <v>0.98820056075961904</v>
      </c>
      <c r="N149">
        <f t="shared" si="36"/>
        <v>1.7140751174060367</v>
      </c>
      <c r="O149">
        <f t="shared" si="30"/>
        <v>-1.179943924038096E-2</v>
      </c>
      <c r="R149">
        <f t="shared" si="31"/>
        <v>3.464758581018192</v>
      </c>
      <c r="S149">
        <f t="shared" si="44"/>
        <v>-6.1693537933741327E-3</v>
      </c>
      <c r="W149">
        <f t="shared" si="32"/>
        <v>0.50528295772275145</v>
      </c>
      <c r="X149">
        <f t="shared" si="33"/>
        <v>0.49471704227724855</v>
      </c>
      <c r="Y149">
        <f t="shared" si="37"/>
        <v>-6.1693537933741171E-3</v>
      </c>
      <c r="Z149">
        <f t="shared" si="38"/>
        <v>1.5612511283791264E-17</v>
      </c>
      <c r="AB149">
        <f t="shared" si="39"/>
        <v>-5.9467208145483862E-4</v>
      </c>
      <c r="AC149">
        <f t="shared" si="40"/>
        <v>-1.1869605115053354E-2</v>
      </c>
      <c r="AD149">
        <f t="shared" si="41"/>
        <v>-6.1884628908831021E-3</v>
      </c>
    </row>
    <row r="150" spans="1:30" x14ac:dyDescent="0.3">
      <c r="A150" s="1">
        <v>44041</v>
      </c>
      <c r="B150">
        <v>255.550003</v>
      </c>
      <c r="C150">
        <v>252.38999899999999</v>
      </c>
      <c r="D150">
        <v>252.38999899999999</v>
      </c>
      <c r="E150">
        <f t="shared" si="42"/>
        <v>1.0008327623357496</v>
      </c>
      <c r="F150">
        <f t="shared" si="34"/>
        <v>1.7521413668624712</v>
      </c>
      <c r="G150">
        <f t="shared" si="35"/>
        <v>8.3276233574958169E-4</v>
      </c>
      <c r="J150">
        <v>43.709999000000003</v>
      </c>
      <c r="K150">
        <v>44.029998999999997</v>
      </c>
      <c r="L150">
        <v>40.861682999999999</v>
      </c>
      <c r="M150">
        <f t="shared" si="43"/>
        <v>1.011021761681107</v>
      </c>
      <c r="N150">
        <f t="shared" si="36"/>
        <v>1.7329672448536015</v>
      </c>
      <c r="O150">
        <f t="shared" si="30"/>
        <v>1.1021761681107023E-2</v>
      </c>
      <c r="R150">
        <f t="shared" si="31"/>
        <v>3.4851086117160728</v>
      </c>
      <c r="S150">
        <f t="shared" si="44"/>
        <v>5.873433955649654E-3</v>
      </c>
      <c r="W150">
        <f t="shared" si="32"/>
        <v>0.50275086434098659</v>
      </c>
      <c r="X150">
        <f t="shared" si="33"/>
        <v>0.49724913565901346</v>
      </c>
      <c r="Y150">
        <f t="shared" si="37"/>
        <v>5.8734339556496366E-3</v>
      </c>
      <c r="Z150">
        <f t="shared" si="38"/>
        <v>1.7347234759768071E-17</v>
      </c>
      <c r="AB150">
        <f t="shared" si="39"/>
        <v>8.3241578158048716E-4</v>
      </c>
      <c r="AC150">
        <f t="shared" si="40"/>
        <v>1.0961464713805482E-2</v>
      </c>
      <c r="AD150">
        <f t="shared" si="41"/>
        <v>5.856252585370811E-3</v>
      </c>
    </row>
    <row r="151" spans="1:30" x14ac:dyDescent="0.3">
      <c r="A151" s="1">
        <v>44042</v>
      </c>
      <c r="B151">
        <v>250.31399500000001</v>
      </c>
      <c r="C151">
        <v>250</v>
      </c>
      <c r="D151">
        <v>250</v>
      </c>
      <c r="E151">
        <f t="shared" si="42"/>
        <v>0.99053053207548059</v>
      </c>
      <c r="F151">
        <f t="shared" si="34"/>
        <v>1.7355495203897435</v>
      </c>
      <c r="G151">
        <f t="shared" si="35"/>
        <v>-9.4694679245194147E-3</v>
      </c>
      <c r="J151">
        <v>43.130001</v>
      </c>
      <c r="K151">
        <v>41.869999</v>
      </c>
      <c r="L151">
        <v>38.857112999999998</v>
      </c>
      <c r="M151">
        <f t="shared" si="43"/>
        <v>0.95094254928266164</v>
      </c>
      <c r="N151">
        <f t="shared" si="36"/>
        <v>1.6479522896444343</v>
      </c>
      <c r="O151">
        <f t="shared" si="30"/>
        <v>-4.9057450717338358E-2</v>
      </c>
      <c r="R151">
        <f t="shared" si="31"/>
        <v>3.3835018100341778</v>
      </c>
      <c r="S151">
        <f t="shared" si="44"/>
        <v>-2.9154558150732535E-2</v>
      </c>
      <c r="W151">
        <f t="shared" si="32"/>
        <v>0.51294475896030689</v>
      </c>
      <c r="X151">
        <f t="shared" si="33"/>
        <v>0.48705524103969305</v>
      </c>
      <c r="Y151">
        <f t="shared" si="37"/>
        <v>-2.9154558150732535E-2</v>
      </c>
      <c r="Z151">
        <f t="shared" si="38"/>
        <v>0</v>
      </c>
      <c r="AB151">
        <f t="shared" si="39"/>
        <v>-9.5145884064633014E-3</v>
      </c>
      <c r="AC151">
        <f t="shared" si="40"/>
        <v>-5.0301629110491804E-2</v>
      </c>
      <c r="AD151">
        <f t="shared" si="41"/>
        <v>-2.9587997562978162E-2</v>
      </c>
    </row>
    <row r="152" spans="1:30" s="6" customFormat="1" x14ac:dyDescent="0.3">
      <c r="A152" s="5">
        <v>44043</v>
      </c>
      <c r="B152" s="6">
        <v>253.5</v>
      </c>
      <c r="C152" s="6">
        <v>253.91000399999999</v>
      </c>
      <c r="D152" s="6">
        <v>253.91000399999999</v>
      </c>
      <c r="E152" s="6">
        <f t="shared" si="42"/>
        <v>1.0156400159999999</v>
      </c>
      <c r="F152" s="6">
        <f t="shared" si="34"/>
        <v>1.7626935426574313</v>
      </c>
      <c r="G152" s="6">
        <f t="shared" si="35"/>
        <v>1.5640015999999868E-2</v>
      </c>
      <c r="H152" s="7">
        <f>0.5*R152</f>
        <v>1.7094556777071719</v>
      </c>
      <c r="J152" s="6">
        <v>41.16</v>
      </c>
      <c r="K152" s="6">
        <v>42.080002</v>
      </c>
      <c r="L152" s="6">
        <v>39.052005999999999</v>
      </c>
      <c r="M152" s="6">
        <f t="shared" si="43"/>
        <v>1.0050156325303941</v>
      </c>
      <c r="N152" s="6">
        <f t="shared" si="36"/>
        <v>1.6562178127569123</v>
      </c>
      <c r="O152" s="6">
        <f t="shared" si="30"/>
        <v>5.0156325303940541E-3</v>
      </c>
      <c r="P152" s="7">
        <f>0.5*R152</f>
        <v>1.7094556777071719</v>
      </c>
      <c r="R152" s="6">
        <f t="shared" si="31"/>
        <v>3.4189113554143438</v>
      </c>
      <c r="S152" s="6">
        <f t="shared" si="44"/>
        <v>1.0465354348312861E-2</v>
      </c>
      <c r="U152" s="6">
        <f>F152/R152</f>
        <v>0.51557158388033353</v>
      </c>
      <c r="V152" s="6">
        <f>N152/R152</f>
        <v>0.48442841611966636</v>
      </c>
      <c r="W152" s="7">
        <v>0.5</v>
      </c>
      <c r="X152" s="7">
        <v>0.5</v>
      </c>
      <c r="Y152" s="6">
        <f t="shared" si="37"/>
        <v>1.0465354348312878E-2</v>
      </c>
      <c r="Z152" s="6">
        <f t="shared" si="38"/>
        <v>1.7347234759768071E-17</v>
      </c>
      <c r="AB152" s="6">
        <f t="shared" si="39"/>
        <v>1.5518971411283701E-2</v>
      </c>
      <c r="AC152" s="6">
        <f t="shared" si="40"/>
        <v>5.0030961466761004E-3</v>
      </c>
      <c r="AD152" s="6">
        <f t="shared" si="41"/>
        <v>1.0410971621434641E-2</v>
      </c>
    </row>
    <row r="153" spans="1:30" s="6" customFormat="1" x14ac:dyDescent="0.3">
      <c r="A153" s="5">
        <v>44046</v>
      </c>
      <c r="B153" s="6">
        <v>256.82998700000002</v>
      </c>
      <c r="C153" s="6">
        <v>268</v>
      </c>
      <c r="D153" s="6">
        <v>268</v>
      </c>
      <c r="E153" s="6">
        <f t="shared" si="42"/>
        <v>1.0554920868734263</v>
      </c>
      <c r="F153" s="7">
        <f>H152*E153</f>
        <v>1.8043169406807702</v>
      </c>
      <c r="G153" s="6">
        <f t="shared" si="35"/>
        <v>5.5492086873426327E-2</v>
      </c>
      <c r="J153" s="6">
        <v>42.049999</v>
      </c>
      <c r="K153" s="6">
        <v>42.25</v>
      </c>
      <c r="L153" s="6">
        <v>39.209769999999999</v>
      </c>
      <c r="M153" s="6">
        <f t="shared" si="43"/>
        <v>1.0040398436894638</v>
      </c>
      <c r="N153" s="7">
        <f>P152*M153</f>
        <v>1.7163616114391751</v>
      </c>
      <c r="O153" s="6">
        <f t="shared" si="30"/>
        <v>4.0398436894637513E-3</v>
      </c>
      <c r="R153" s="6">
        <f t="shared" si="31"/>
        <v>3.5206785521199455</v>
      </c>
      <c r="S153" s="6">
        <f t="shared" si="44"/>
        <v>2.9765965281445039E-2</v>
      </c>
      <c r="W153" s="6">
        <f t="shared" si="32"/>
        <v>0.51249124677807256</v>
      </c>
      <c r="X153" s="6">
        <f t="shared" si="33"/>
        <v>0.48750875322192738</v>
      </c>
      <c r="Y153" s="7">
        <f t="shared" si="37"/>
        <v>2.9765965281445039E-2</v>
      </c>
      <c r="Z153" s="6">
        <f t="shared" si="38"/>
        <v>0</v>
      </c>
      <c r="AB153" s="6">
        <f t="shared" si="39"/>
        <v>5.4007091237326513E-2</v>
      </c>
      <c r="AC153" s="6">
        <f t="shared" si="40"/>
        <v>4.0317054317757619E-3</v>
      </c>
      <c r="AD153" s="6">
        <f t="shared" si="41"/>
        <v>2.9331558250229973E-2</v>
      </c>
    </row>
    <row r="154" spans="1:30" x14ac:dyDescent="0.3">
      <c r="A154" s="1">
        <v>44047</v>
      </c>
      <c r="B154">
        <v>268</v>
      </c>
      <c r="C154">
        <v>267.33999599999999</v>
      </c>
      <c r="D154">
        <v>267.33999599999999</v>
      </c>
      <c r="E154">
        <f t="shared" si="42"/>
        <v>0.99753729850746264</v>
      </c>
      <c r="F154">
        <f t="shared" si="34"/>
        <v>1.7998734466579451</v>
      </c>
      <c r="G154">
        <f t="shared" si="35"/>
        <v>-2.4627014925373558E-3</v>
      </c>
      <c r="J154">
        <v>42.34</v>
      </c>
      <c r="K154">
        <v>43.470001000000003</v>
      </c>
      <c r="L154">
        <v>40.341983999999997</v>
      </c>
      <c r="M154">
        <f t="shared" si="43"/>
        <v>1.028875813349581</v>
      </c>
      <c r="N154">
        <f t="shared" si="36"/>
        <v>1.7659229489714787</v>
      </c>
      <c r="O154">
        <f t="shared" si="30"/>
        <v>2.8875813349581003E-2</v>
      </c>
      <c r="R154">
        <f t="shared" si="31"/>
        <v>3.5657963956294241</v>
      </c>
      <c r="S154">
        <f t="shared" si="44"/>
        <v>1.2815098805970537E-2</v>
      </c>
      <c r="W154">
        <f t="shared" si="32"/>
        <v>0.50476057715018152</v>
      </c>
      <c r="X154">
        <f t="shared" si="33"/>
        <v>0.49523942284981842</v>
      </c>
      <c r="Y154">
        <f t="shared" si="37"/>
        <v>1.2815098805970631E-2</v>
      </c>
      <c r="Z154">
        <f t="shared" si="38"/>
        <v>9.3675067702747583E-17</v>
      </c>
      <c r="AB154">
        <f t="shared" si="39"/>
        <v>-2.4657389297502441E-3</v>
      </c>
      <c r="AC154">
        <f t="shared" si="40"/>
        <v>2.8466762833581474E-2</v>
      </c>
      <c r="AD154">
        <f t="shared" si="41"/>
        <v>1.273368028042998E-2</v>
      </c>
    </row>
    <row r="155" spans="1:30" x14ac:dyDescent="0.3">
      <c r="A155" s="1">
        <v>44048</v>
      </c>
      <c r="B155">
        <v>266.290009</v>
      </c>
      <c r="C155">
        <v>272.89999399999999</v>
      </c>
      <c r="D155">
        <v>272.89999399999999</v>
      </c>
      <c r="E155">
        <f t="shared" si="42"/>
        <v>1.0207974791770402</v>
      </c>
      <c r="F155">
        <f t="shared" si="34"/>
        <v>1.8373062771861213</v>
      </c>
      <c r="G155">
        <f t="shared" si="35"/>
        <v>2.0797479177040223E-2</v>
      </c>
      <c r="J155">
        <v>44.150002000000001</v>
      </c>
      <c r="K155">
        <v>43.849997999999999</v>
      </c>
      <c r="L155">
        <v>40.694637</v>
      </c>
      <c r="M155">
        <f t="shared" si="43"/>
        <v>1.00874158791992</v>
      </c>
      <c r="N155">
        <f t="shared" si="36"/>
        <v>1.7813599196897172</v>
      </c>
      <c r="O155">
        <f t="shared" si="30"/>
        <v>8.7415879199199686E-3</v>
      </c>
      <c r="R155">
        <f t="shared" si="31"/>
        <v>3.6186661968758385</v>
      </c>
      <c r="S155">
        <f t="shared" si="44"/>
        <v>1.4826926548923813E-2</v>
      </c>
      <c r="W155">
        <f t="shared" si="32"/>
        <v>0.50773024568343794</v>
      </c>
      <c r="X155">
        <f t="shared" si="33"/>
        <v>0.49226975431656211</v>
      </c>
      <c r="Y155">
        <f t="shared" si="37"/>
        <v>1.4826926548923815E-2</v>
      </c>
      <c r="Z155">
        <f t="shared" si="38"/>
        <v>1.7347234759768071E-18</v>
      </c>
      <c r="AB155">
        <f t="shared" si="39"/>
        <v>2.0584164147110645E-2</v>
      </c>
      <c r="AC155">
        <f t="shared" si="40"/>
        <v>8.7036014544082489E-3</v>
      </c>
      <c r="AD155">
        <f t="shared" si="41"/>
        <v>1.4718082238947241E-2</v>
      </c>
    </row>
    <row r="156" spans="1:30" x14ac:dyDescent="0.3">
      <c r="A156" s="1">
        <v>44049</v>
      </c>
      <c r="B156">
        <v>273.86999500000002</v>
      </c>
      <c r="C156">
        <v>268.25</v>
      </c>
      <c r="D156">
        <v>268.25</v>
      </c>
      <c r="E156">
        <f t="shared" si="42"/>
        <v>0.98296081311016814</v>
      </c>
      <c r="F156">
        <f t="shared" si="34"/>
        <v>1.8060000721552858</v>
      </c>
      <c r="G156">
        <f t="shared" si="35"/>
        <v>-1.7039186889831859E-2</v>
      </c>
      <c r="J156">
        <v>43.400002000000001</v>
      </c>
      <c r="K156">
        <v>43.639999000000003</v>
      </c>
      <c r="L156">
        <v>40.499747999999997</v>
      </c>
      <c r="M156">
        <f t="shared" si="43"/>
        <v>0.99521094143191391</v>
      </c>
      <c r="N156">
        <f t="shared" si="36"/>
        <v>1.7728288827034819</v>
      </c>
      <c r="O156">
        <f t="shared" si="30"/>
        <v>-4.7890585680860909E-3</v>
      </c>
      <c r="R156">
        <f t="shared" si="31"/>
        <v>3.5788289548587677</v>
      </c>
      <c r="S156">
        <f t="shared" si="44"/>
        <v>-1.1008819230539757E-2</v>
      </c>
      <c r="W156">
        <f t="shared" si="32"/>
        <v>0.50463436362427561</v>
      </c>
      <c r="X156">
        <f t="shared" si="33"/>
        <v>0.49536563637572434</v>
      </c>
      <c r="Y156">
        <f t="shared" si="37"/>
        <v>-1.1008819230539712E-2</v>
      </c>
      <c r="Z156">
        <f t="shared" si="38"/>
        <v>4.5102810375396984E-17</v>
      </c>
      <c r="AB156">
        <f t="shared" si="39"/>
        <v>-1.7186024217409182E-2</v>
      </c>
      <c r="AC156">
        <f t="shared" si="40"/>
        <v>-4.8005628535643151E-3</v>
      </c>
      <c r="AD156">
        <f t="shared" si="41"/>
        <v>-1.1069864720256025E-2</v>
      </c>
    </row>
    <row r="157" spans="1:30" x14ac:dyDescent="0.3">
      <c r="A157" s="1">
        <v>44050</v>
      </c>
      <c r="B157">
        <v>266.45001200000002</v>
      </c>
      <c r="C157">
        <v>258.73001099999999</v>
      </c>
      <c r="D157">
        <v>258.73001099999999</v>
      </c>
      <c r="E157">
        <f t="shared" si="42"/>
        <v>0.96451075862068958</v>
      </c>
      <c r="F157">
        <f t="shared" si="34"/>
        <v>1.7419064996635147</v>
      </c>
      <c r="G157">
        <f t="shared" si="35"/>
        <v>-3.5489241379310421E-2</v>
      </c>
      <c r="J157">
        <v>43.23</v>
      </c>
      <c r="K157">
        <v>43.439999</v>
      </c>
      <c r="L157">
        <v>40.314137000000002</v>
      </c>
      <c r="M157">
        <f t="shared" si="43"/>
        <v>0.99541698382913413</v>
      </c>
      <c r="N157">
        <f t="shared" si="36"/>
        <v>1.7647039792658739</v>
      </c>
      <c r="O157">
        <f t="shared" si="30"/>
        <v>-4.5830161708658723E-3</v>
      </c>
      <c r="R157">
        <f t="shared" si="31"/>
        <v>3.5066104789293888</v>
      </c>
      <c r="S157">
        <f t="shared" si="44"/>
        <v>-2.0179359460957724E-2</v>
      </c>
      <c r="W157">
        <f t="shared" si="32"/>
        <v>0.49674935671650083</v>
      </c>
      <c r="X157">
        <f t="shared" si="33"/>
        <v>0.50325064328349911</v>
      </c>
      <c r="Y157">
        <f t="shared" si="37"/>
        <v>-2.0179359460957832E-2</v>
      </c>
      <c r="Z157">
        <f t="shared" si="38"/>
        <v>1.0755285551056204E-16</v>
      </c>
      <c r="AB157">
        <f t="shared" si="39"/>
        <v>-3.613429208924502E-2</v>
      </c>
      <c r="AC157">
        <f t="shared" si="40"/>
        <v>-4.5935503874561523E-3</v>
      </c>
      <c r="AD157">
        <f t="shared" si="41"/>
        <v>-2.0385743925817584E-2</v>
      </c>
    </row>
    <row r="158" spans="1:30" x14ac:dyDescent="0.3">
      <c r="A158" s="1">
        <v>44053</v>
      </c>
      <c r="B158">
        <v>259.14001500000001</v>
      </c>
      <c r="C158">
        <v>250</v>
      </c>
      <c r="D158">
        <v>250</v>
      </c>
      <c r="E158">
        <f t="shared" si="42"/>
        <v>0.96625822042731646</v>
      </c>
      <c r="F158">
        <f t="shared" si="34"/>
        <v>1.6831314745156436</v>
      </c>
      <c r="G158">
        <f t="shared" si="35"/>
        <v>-3.3741779572683539E-2</v>
      </c>
      <c r="J158">
        <v>43.990001999999997</v>
      </c>
      <c r="K158">
        <v>44.509998000000003</v>
      </c>
      <c r="L158">
        <v>41.307147999999998</v>
      </c>
      <c r="M158">
        <f t="shared" si="43"/>
        <v>1.0246318307644784</v>
      </c>
      <c r="N158">
        <f t="shared" si="36"/>
        <v>1.8081718690325523</v>
      </c>
      <c r="O158">
        <f t="shared" si="30"/>
        <v>2.4631830764478391E-2</v>
      </c>
      <c r="R158">
        <f t="shared" si="31"/>
        <v>3.4913033435481959</v>
      </c>
      <c r="S158">
        <f t="shared" si="44"/>
        <v>-4.3652226197266053E-3</v>
      </c>
      <c r="W158">
        <f t="shared" si="32"/>
        <v>0.48209259090190787</v>
      </c>
      <c r="X158">
        <f t="shared" si="33"/>
        <v>0.51790740909809208</v>
      </c>
      <c r="Y158">
        <f t="shared" si="37"/>
        <v>-4.3652226197264839E-3</v>
      </c>
      <c r="Z158">
        <f t="shared" si="38"/>
        <v>1.214306433183765E-16</v>
      </c>
      <c r="AB158">
        <f t="shared" si="39"/>
        <v>-3.4324171559316427E-2</v>
      </c>
      <c r="AC158">
        <f t="shared" si="40"/>
        <v>2.4333358568302519E-2</v>
      </c>
      <c r="AD158">
        <f t="shared" si="41"/>
        <v>-4.3747780217637281E-3</v>
      </c>
    </row>
    <row r="159" spans="1:30" x14ac:dyDescent="0.3">
      <c r="A159" s="1">
        <v>44054</v>
      </c>
      <c r="B159">
        <v>245.479996</v>
      </c>
      <c r="C159">
        <v>231.03999300000001</v>
      </c>
      <c r="D159">
        <v>231.03999300000001</v>
      </c>
      <c r="E159">
        <f t="shared" si="42"/>
        <v>0.924159972</v>
      </c>
      <c r="F159">
        <f t="shared" si="34"/>
        <v>1.555482736360696</v>
      </c>
      <c r="G159">
        <f t="shared" si="35"/>
        <v>-7.5840028000000004E-2</v>
      </c>
      <c r="J159">
        <v>45.5</v>
      </c>
      <c r="K159">
        <v>44.970001000000003</v>
      </c>
      <c r="L159">
        <v>41.734046999999997</v>
      </c>
      <c r="M159">
        <f t="shared" si="43"/>
        <v>1.0103347488429848</v>
      </c>
      <c r="N159">
        <f t="shared" si="36"/>
        <v>1.8268588711639542</v>
      </c>
      <c r="O159">
        <f t="shared" si="30"/>
        <v>1.0334748842984798E-2</v>
      </c>
      <c r="R159">
        <f t="shared" si="31"/>
        <v>3.3823416075246504</v>
      </c>
      <c r="S159">
        <f t="shared" si="44"/>
        <v>-3.1209472595643328E-2</v>
      </c>
      <c r="W159">
        <f t="shared" si="32"/>
        <v>0.45988339347516949</v>
      </c>
      <c r="X159">
        <f t="shared" si="33"/>
        <v>0.54011660652483051</v>
      </c>
      <c r="Y159">
        <f t="shared" si="37"/>
        <v>-3.1209472595643478E-2</v>
      </c>
      <c r="Z159">
        <f t="shared" si="38"/>
        <v>1.4918621893400541E-16</v>
      </c>
      <c r="AB159">
        <f t="shared" si="39"/>
        <v>-7.8870092455569418E-2</v>
      </c>
      <c r="AC159">
        <f t="shared" si="40"/>
        <v>1.0281710438892481E-2</v>
      </c>
      <c r="AD159">
        <f t="shared" si="41"/>
        <v>-3.170686444964755E-2</v>
      </c>
    </row>
    <row r="160" spans="1:30" x14ac:dyDescent="0.3">
      <c r="A160" s="1">
        <v>44055</v>
      </c>
      <c r="B160">
        <v>232.300003</v>
      </c>
      <c r="C160">
        <v>236.720001</v>
      </c>
      <c r="D160">
        <v>236.720001</v>
      </c>
      <c r="E160">
        <f t="shared" si="42"/>
        <v>1.0245845229055213</v>
      </c>
      <c r="F160">
        <f t="shared" si="34"/>
        <v>1.5937235373218985</v>
      </c>
      <c r="G160">
        <f t="shared" si="35"/>
        <v>2.4584522905521267E-2</v>
      </c>
      <c r="J160">
        <v>44.459999000000003</v>
      </c>
      <c r="K160">
        <v>44.09</v>
      </c>
      <c r="L160">
        <v>41.724583000000003</v>
      </c>
      <c r="M160">
        <f t="shared" si="43"/>
        <v>0.99977323071496049</v>
      </c>
      <c r="N160">
        <f t="shared" si="36"/>
        <v>1.8264445956838722</v>
      </c>
      <c r="O160">
        <f t="shared" si="30"/>
        <v>-2.2676928503950755E-4</v>
      </c>
      <c r="R160">
        <f t="shared" si="31"/>
        <v>3.4201681330057707</v>
      </c>
      <c r="S160">
        <f t="shared" si="44"/>
        <v>1.1183531964059412E-2</v>
      </c>
      <c r="W160">
        <f t="shared" si="32"/>
        <v>0.46597812602893157</v>
      </c>
      <c r="X160">
        <f t="shared" si="33"/>
        <v>0.53402187397106848</v>
      </c>
      <c r="Y160">
        <f t="shared" si="37"/>
        <v>1.1183531964059553E-2</v>
      </c>
      <c r="Z160">
        <f t="shared" si="38"/>
        <v>1.4051260155412137E-16</v>
      </c>
      <c r="AB160">
        <f t="shared" si="39"/>
        <v>2.4287186909677207E-2</v>
      </c>
      <c r="AC160">
        <f t="shared" si="40"/>
        <v>-2.267950010816387E-4</v>
      </c>
      <c r="AD160">
        <f t="shared" si="41"/>
        <v>1.1121458641035167E-2</v>
      </c>
    </row>
    <row r="161" spans="1:30" x14ac:dyDescent="0.3">
      <c r="A161" s="1">
        <v>44056</v>
      </c>
      <c r="B161">
        <v>238.14999399999999</v>
      </c>
      <c r="C161">
        <v>247.25</v>
      </c>
      <c r="D161">
        <v>247.25</v>
      </c>
      <c r="E161">
        <f t="shared" si="42"/>
        <v>1.0444829290111401</v>
      </c>
      <c r="F161">
        <f t="shared" si="34"/>
        <v>1.6646170282959718</v>
      </c>
      <c r="G161">
        <f t="shared" si="35"/>
        <v>4.4482929011140149E-2</v>
      </c>
      <c r="J161">
        <v>43.5</v>
      </c>
      <c r="K161">
        <v>43.009998000000003</v>
      </c>
      <c r="L161">
        <v>40.702522000000002</v>
      </c>
      <c r="M161">
        <f t="shared" si="43"/>
        <v>0.97550458443167665</v>
      </c>
      <c r="N161">
        <f t="shared" si="36"/>
        <v>1.7817050763000775</v>
      </c>
      <c r="O161">
        <f t="shared" si="30"/>
        <v>-2.4495415568323353E-2</v>
      </c>
      <c r="R161">
        <f t="shared" si="31"/>
        <v>3.4463221045960495</v>
      </c>
      <c r="S161">
        <f t="shared" si="44"/>
        <v>7.6469841753930012E-3</v>
      </c>
      <c r="W161">
        <f t="shared" si="32"/>
        <v>0.48301260815871561</v>
      </c>
      <c r="X161">
        <f t="shared" si="33"/>
        <v>0.51698739184128428</v>
      </c>
      <c r="Y161">
        <f t="shared" si="37"/>
        <v>7.6469841753929561E-3</v>
      </c>
      <c r="Z161">
        <f t="shared" si="38"/>
        <v>4.5102810375396984E-17</v>
      </c>
      <c r="AB161">
        <f t="shared" si="39"/>
        <v>4.3521958186467258E-2</v>
      </c>
      <c r="AC161">
        <f t="shared" si="40"/>
        <v>-2.4800419358843782E-2</v>
      </c>
      <c r="AD161">
        <f t="shared" si="41"/>
        <v>7.6178941981798866E-3</v>
      </c>
    </row>
    <row r="162" spans="1:30" x14ac:dyDescent="0.3">
      <c r="A162" s="1">
        <v>44057</v>
      </c>
      <c r="B162">
        <v>249.44000199999999</v>
      </c>
      <c r="C162">
        <v>244.91000399999999</v>
      </c>
      <c r="D162">
        <v>244.91000399999999</v>
      </c>
      <c r="E162">
        <f t="shared" si="42"/>
        <v>0.99053591102123351</v>
      </c>
      <c r="F162">
        <f t="shared" si="34"/>
        <v>1.6488629446246088</v>
      </c>
      <c r="G162">
        <f t="shared" si="35"/>
        <v>-9.4640889787664939E-3</v>
      </c>
      <c r="J162">
        <v>42.599997999999999</v>
      </c>
      <c r="K162">
        <v>43.200001</v>
      </c>
      <c r="L162">
        <v>40.882328000000001</v>
      </c>
      <c r="M162">
        <f t="shared" si="43"/>
        <v>1.0044175641008191</v>
      </c>
      <c r="N162">
        <f t="shared" si="36"/>
        <v>1.7895758726833877</v>
      </c>
      <c r="O162">
        <f t="shared" si="30"/>
        <v>4.4175641008190603E-3</v>
      </c>
      <c r="R162">
        <f t="shared" si="31"/>
        <v>3.4384388173079965</v>
      </c>
      <c r="S162">
        <f t="shared" si="44"/>
        <v>-2.2874493587061728E-3</v>
      </c>
      <c r="W162">
        <f t="shared" si="32"/>
        <v>0.479538253327284</v>
      </c>
      <c r="X162">
        <f t="shared" si="33"/>
        <v>0.52046174667271605</v>
      </c>
      <c r="Y162">
        <f t="shared" si="37"/>
        <v>-2.2874493587060254E-3</v>
      </c>
      <c r="Z162">
        <f t="shared" si="38"/>
        <v>1.474514954580286E-16</v>
      </c>
      <c r="AB162">
        <f t="shared" si="39"/>
        <v>-9.5091580527548961E-3</v>
      </c>
      <c r="AC162">
        <f t="shared" si="40"/>
        <v>4.4078353057211634E-3</v>
      </c>
      <c r="AD162">
        <f t="shared" si="41"/>
        <v>-2.2900695674830194E-3</v>
      </c>
    </row>
    <row r="163" spans="1:30" x14ac:dyDescent="0.3">
      <c r="A163" s="1">
        <v>44060</v>
      </c>
      <c r="B163">
        <v>248.699997</v>
      </c>
      <c r="C163">
        <v>266.14999399999999</v>
      </c>
      <c r="D163">
        <v>266.14999399999999</v>
      </c>
      <c r="E163">
        <f t="shared" si="42"/>
        <v>1.0867256937368717</v>
      </c>
      <c r="F163">
        <f t="shared" si="34"/>
        <v>1.791861727374199</v>
      </c>
      <c r="G163">
        <f t="shared" si="35"/>
        <v>8.6725693736871667E-2</v>
      </c>
      <c r="J163">
        <v>43.169998</v>
      </c>
      <c r="K163">
        <v>42.639999000000003</v>
      </c>
      <c r="L163">
        <v>40.352370999999998</v>
      </c>
      <c r="M163">
        <f t="shared" si="43"/>
        <v>0.98703701511322928</v>
      </c>
      <c r="N163">
        <f t="shared" si="36"/>
        <v>1.7663776276920633</v>
      </c>
      <c r="O163">
        <f t="shared" si="30"/>
        <v>-1.2962984886770723E-2</v>
      </c>
      <c r="R163">
        <f t="shared" si="31"/>
        <v>3.5582393550662621</v>
      </c>
      <c r="S163">
        <f t="shared" si="44"/>
        <v>3.4841549936915683E-2</v>
      </c>
      <c r="W163">
        <f t="shared" si="32"/>
        <v>0.50358099851347149</v>
      </c>
      <c r="X163">
        <f t="shared" si="33"/>
        <v>0.49641900148652857</v>
      </c>
      <c r="Y163">
        <f t="shared" si="37"/>
        <v>3.4841549936915704E-2</v>
      </c>
      <c r="Z163">
        <f t="shared" si="38"/>
        <v>2.0816681711721685E-17</v>
      </c>
      <c r="AB163">
        <f t="shared" si="39"/>
        <v>8.316922462502116E-2</v>
      </c>
      <c r="AC163">
        <f t="shared" si="40"/>
        <v>-1.3047737604213468E-2</v>
      </c>
      <c r="AD163">
        <f t="shared" si="41"/>
        <v>3.4248323149188582E-2</v>
      </c>
    </row>
    <row r="164" spans="1:30" x14ac:dyDescent="0.3">
      <c r="A164" s="1">
        <v>44061</v>
      </c>
      <c r="B164">
        <v>271.72000100000002</v>
      </c>
      <c r="C164">
        <v>276.79998799999998</v>
      </c>
      <c r="D164">
        <v>276.79998799999998</v>
      </c>
      <c r="E164">
        <f t="shared" si="42"/>
        <v>1.0400150074773249</v>
      </c>
      <c r="F164">
        <f t="shared" si="34"/>
        <v>1.86356308779341</v>
      </c>
      <c r="G164">
        <f t="shared" si="35"/>
        <v>4.0015007477324893E-2</v>
      </c>
      <c r="J164">
        <v>42.59</v>
      </c>
      <c r="K164">
        <v>42.43</v>
      </c>
      <c r="L164">
        <v>40.153641</v>
      </c>
      <c r="M164">
        <f t="shared" si="43"/>
        <v>0.99507513449457541</v>
      </c>
      <c r="N164">
        <f t="shared" si="36"/>
        <v>1.7576784554438889</v>
      </c>
      <c r="O164">
        <f t="shared" si="30"/>
        <v>-4.9248655054245916E-3</v>
      </c>
      <c r="R164">
        <f t="shared" si="31"/>
        <v>3.6212415432372991</v>
      </c>
      <c r="S164">
        <f t="shared" si="44"/>
        <v>1.7706000604297056E-2</v>
      </c>
      <c r="W164">
        <f t="shared" si="32"/>
        <v>0.51461993505338821</v>
      </c>
      <c r="X164">
        <f t="shared" si="33"/>
        <v>0.48538006494661179</v>
      </c>
      <c r="Y164">
        <f t="shared" si="37"/>
        <v>1.7706000604296973E-2</v>
      </c>
      <c r="Z164">
        <f t="shared" si="38"/>
        <v>8.3266726846886741E-17</v>
      </c>
      <c r="AB164">
        <f t="shared" si="39"/>
        <v>3.9235143315824554E-2</v>
      </c>
      <c r="AC164">
        <f t="shared" si="40"/>
        <v>-4.9370326195863224E-3</v>
      </c>
      <c r="AD164">
        <f t="shared" si="41"/>
        <v>1.7551075439200346E-2</v>
      </c>
    </row>
    <row r="165" spans="1:30" x14ac:dyDescent="0.3">
      <c r="A165" s="1">
        <v>44062</v>
      </c>
      <c r="B165">
        <v>274.68499800000001</v>
      </c>
      <c r="C165">
        <v>273.51001000000002</v>
      </c>
      <c r="D165">
        <v>273.51001000000002</v>
      </c>
      <c r="E165">
        <f t="shared" si="42"/>
        <v>0.98811424081420129</v>
      </c>
      <c r="F165">
        <f t="shared" si="34"/>
        <v>1.8414132257043541</v>
      </c>
      <c r="G165">
        <f t="shared" si="35"/>
        <v>-1.1885759185798705E-2</v>
      </c>
      <c r="J165">
        <v>42.349997999999999</v>
      </c>
      <c r="K165">
        <v>41.959999000000003</v>
      </c>
      <c r="L165">
        <v>39.708855</v>
      </c>
      <c r="M165">
        <f t="shared" si="43"/>
        <v>0.98892289742790696</v>
      </c>
      <c r="N165">
        <f t="shared" si="36"/>
        <v>1.738208470904179</v>
      </c>
      <c r="O165">
        <f t="shared" si="30"/>
        <v>-1.1077102572093045E-2</v>
      </c>
      <c r="R165">
        <f t="shared" si="31"/>
        <v>3.579621696608533</v>
      </c>
      <c r="S165">
        <f t="shared" si="44"/>
        <v>-1.1493253386118729E-2</v>
      </c>
      <c r="W165">
        <f t="shared" si="32"/>
        <v>0.51441559521470592</v>
      </c>
      <c r="X165">
        <f t="shared" si="33"/>
        <v>0.48558440478529408</v>
      </c>
      <c r="Y165">
        <f t="shared" si="37"/>
        <v>-1.1493253386118745E-2</v>
      </c>
      <c r="Z165">
        <f t="shared" si="38"/>
        <v>1.5612511283791264E-17</v>
      </c>
      <c r="AB165">
        <f t="shared" si="39"/>
        <v>-1.1956959564257394E-2</v>
      </c>
      <c r="AC165">
        <f t="shared" si="40"/>
        <v>-1.113891053203633E-2</v>
      </c>
      <c r="AD165">
        <f t="shared" si="41"/>
        <v>-1.1559811292195639E-2</v>
      </c>
    </row>
    <row r="166" spans="1:30" x14ac:dyDescent="0.3">
      <c r="A166" s="1">
        <v>44063</v>
      </c>
      <c r="B166">
        <v>274.45001200000002</v>
      </c>
      <c r="C166">
        <v>290.69000199999999</v>
      </c>
      <c r="D166">
        <v>290.69000199999999</v>
      </c>
      <c r="E166">
        <f t="shared" si="42"/>
        <v>1.0628130283056183</v>
      </c>
      <c r="F166">
        <f t="shared" si="34"/>
        <v>1.9570779667728615</v>
      </c>
      <c r="G166">
        <f t="shared" si="35"/>
        <v>6.2813028305618301E-2</v>
      </c>
      <c r="J166">
        <v>41.689999</v>
      </c>
      <c r="K166">
        <v>41.32</v>
      </c>
      <c r="L166">
        <v>39.103191000000002</v>
      </c>
      <c r="M166">
        <f t="shared" si="43"/>
        <v>0.98474738191267419</v>
      </c>
      <c r="N166">
        <f t="shared" si="36"/>
        <v>1.711696240941323</v>
      </c>
      <c r="O166">
        <f t="shared" si="30"/>
        <v>-1.5252618087325809E-2</v>
      </c>
      <c r="R166">
        <f t="shared" si="31"/>
        <v>3.6687742077141845</v>
      </c>
      <c r="S166">
        <f t="shared" si="44"/>
        <v>2.4905567867721246E-2</v>
      </c>
      <c r="W166">
        <f t="shared" si="32"/>
        <v>0.53344192255216805</v>
      </c>
      <c r="X166">
        <f t="shared" si="33"/>
        <v>0.46655807744783201</v>
      </c>
      <c r="Y166">
        <f t="shared" si="37"/>
        <v>2.4905567867721294E-2</v>
      </c>
      <c r="Z166">
        <f t="shared" si="38"/>
        <v>4.8572257327350599E-17</v>
      </c>
      <c r="AB166">
        <f t="shared" si="39"/>
        <v>6.0919193301870449E-2</v>
      </c>
      <c r="AC166">
        <f t="shared" si="40"/>
        <v>-1.5370135766111464E-2</v>
      </c>
      <c r="AD166">
        <f t="shared" si="41"/>
        <v>2.4600479436702592E-2</v>
      </c>
    </row>
    <row r="167" spans="1:30" x14ac:dyDescent="0.3">
      <c r="A167" s="1">
        <v>44064</v>
      </c>
      <c r="B167">
        <v>291</v>
      </c>
      <c r="C167">
        <v>289.67999300000002</v>
      </c>
      <c r="D167">
        <v>289.67999300000002</v>
      </c>
      <c r="E167">
        <f t="shared" si="42"/>
        <v>0.99652547733650654</v>
      </c>
      <c r="F167">
        <f t="shared" si="34"/>
        <v>1.9502780550230854</v>
      </c>
      <c r="G167">
        <f t="shared" si="35"/>
        <v>-3.4745226634934623E-3</v>
      </c>
      <c r="J167">
        <v>41.299999</v>
      </c>
      <c r="K167">
        <v>41.009998000000003</v>
      </c>
      <c r="L167">
        <v>38.809821999999997</v>
      </c>
      <c r="M167">
        <f t="shared" si="43"/>
        <v>0.99249756880455087</v>
      </c>
      <c r="N167">
        <f t="shared" si="36"/>
        <v>1.6988543576661519</v>
      </c>
      <c r="O167">
        <f t="shared" si="30"/>
        <v>-7.502431195449133E-3</v>
      </c>
      <c r="R167">
        <f t="shared" si="31"/>
        <v>3.6491324126892373</v>
      </c>
      <c r="S167">
        <f t="shared" si="44"/>
        <v>-5.3537759242984206E-3</v>
      </c>
      <c r="W167">
        <f t="shared" si="32"/>
        <v>0.53444979092600897</v>
      </c>
      <c r="X167">
        <f t="shared" si="33"/>
        <v>0.46555020907399108</v>
      </c>
      <c r="Y167">
        <f t="shared" si="37"/>
        <v>-5.3537759242984189E-3</v>
      </c>
      <c r="Z167">
        <f t="shared" si="38"/>
        <v>1.7347234759768071E-18</v>
      </c>
      <c r="AB167">
        <f t="shared" si="39"/>
        <v>-3.4805728357353641E-3</v>
      </c>
      <c r="AC167">
        <f t="shared" si="40"/>
        <v>-7.5307159909949253E-3</v>
      </c>
      <c r="AD167">
        <f t="shared" si="41"/>
        <v>-5.368158740507575E-3</v>
      </c>
    </row>
    <row r="168" spans="1:30" x14ac:dyDescent="0.3">
      <c r="A168" s="1">
        <v>44067</v>
      </c>
      <c r="B168">
        <v>293</v>
      </c>
      <c r="C168">
        <v>282.27999899999998</v>
      </c>
      <c r="D168">
        <v>282.27999899999998</v>
      </c>
      <c r="E168">
        <f t="shared" si="42"/>
        <v>0.97445459065583429</v>
      </c>
      <c r="F168">
        <f t="shared" si="34"/>
        <v>1.9004574037725772</v>
      </c>
      <c r="G168">
        <f t="shared" si="35"/>
        <v>-2.5545409344165715E-2</v>
      </c>
      <c r="J168">
        <v>41.279998999999997</v>
      </c>
      <c r="K168">
        <v>42.220001000000003</v>
      </c>
      <c r="L168">
        <v>39.954906000000001</v>
      </c>
      <c r="M168">
        <f t="shared" si="43"/>
        <v>1.0295050052020338</v>
      </c>
      <c r="N168">
        <f t="shared" si="36"/>
        <v>1.7489790643265894</v>
      </c>
      <c r="O168">
        <f t="shared" si="30"/>
        <v>2.9505005202033807E-2</v>
      </c>
      <c r="R168">
        <f t="shared" si="31"/>
        <v>3.6494364680991667</v>
      </c>
      <c r="S168">
        <f t="shared" si="44"/>
        <v>8.332265742727607E-5</v>
      </c>
      <c r="W168">
        <f t="shared" si="32"/>
        <v>0.52075366166394532</v>
      </c>
      <c r="X168">
        <f t="shared" si="33"/>
        <v>0.47924633833605462</v>
      </c>
      <c r="Y168">
        <f t="shared" si="37"/>
        <v>8.3322657427352398E-5</v>
      </c>
      <c r="Z168">
        <f t="shared" si="38"/>
        <v>7.6327832942979512E-17</v>
      </c>
      <c r="AB168">
        <f t="shared" si="39"/>
        <v>-2.58773587027426E-2</v>
      </c>
      <c r="AC168">
        <f t="shared" si="40"/>
        <v>2.9078109253426129E-2</v>
      </c>
      <c r="AD168">
        <f t="shared" si="41"/>
        <v>8.3319186287470753E-5</v>
      </c>
    </row>
    <row r="169" spans="1:30" x14ac:dyDescent="0.3">
      <c r="A169" s="1">
        <v>44068</v>
      </c>
      <c r="B169">
        <v>279</v>
      </c>
      <c r="C169">
        <v>290.44000199999999</v>
      </c>
      <c r="D169">
        <v>290.44000199999999</v>
      </c>
      <c r="E169">
        <f t="shared" si="42"/>
        <v>1.028907478492658</v>
      </c>
      <c r="F169">
        <f t="shared" si="34"/>
        <v>1.9553948352983455</v>
      </c>
      <c r="G169">
        <f t="shared" si="35"/>
        <v>2.8907478492657956E-2</v>
      </c>
      <c r="J169">
        <v>41.66</v>
      </c>
      <c r="K169">
        <v>40.880001</v>
      </c>
      <c r="L169">
        <v>38.686798000000003</v>
      </c>
      <c r="M169">
        <f t="shared" si="43"/>
        <v>0.9682615196241483</v>
      </c>
      <c r="N169">
        <f t="shared" si="36"/>
        <v>1.6934691266156845</v>
      </c>
      <c r="O169">
        <f t="shared" si="30"/>
        <v>-3.1738480375851696E-2</v>
      </c>
      <c r="R169">
        <f t="shared" si="31"/>
        <v>3.6488639619140297</v>
      </c>
      <c r="S169">
        <f t="shared" si="44"/>
        <v>-1.5687522995433412E-4</v>
      </c>
      <c r="W169">
        <f t="shared" si="32"/>
        <v>0.53589140502586274</v>
      </c>
      <c r="X169">
        <f t="shared" si="33"/>
        <v>0.46410859497413731</v>
      </c>
      <c r="Y169">
        <f t="shared" si="37"/>
        <v>-1.5687522995427514E-4</v>
      </c>
      <c r="Z169">
        <f t="shared" si="38"/>
        <v>5.8980598183211441E-17</v>
      </c>
      <c r="AB169">
        <f t="shared" si="39"/>
        <v>2.8497538808102199E-2</v>
      </c>
      <c r="AC169">
        <f t="shared" si="40"/>
        <v>-3.2253063292545549E-2</v>
      </c>
      <c r="AD169">
        <f t="shared" si="41"/>
        <v>-1.5688753616026349E-4</v>
      </c>
    </row>
    <row r="170" spans="1:30" x14ac:dyDescent="0.3">
      <c r="A170" s="1">
        <v>44069</v>
      </c>
      <c r="B170">
        <v>293</v>
      </c>
      <c r="C170">
        <v>295.26998900000001</v>
      </c>
      <c r="D170">
        <v>295.26998900000001</v>
      </c>
      <c r="E170">
        <f t="shared" si="42"/>
        <v>1.0166298959053168</v>
      </c>
      <c r="F170">
        <f t="shared" si="34"/>
        <v>1.9879128478631511</v>
      </c>
      <c r="G170">
        <f t="shared" si="35"/>
        <v>1.6629895905316827E-2</v>
      </c>
      <c r="J170">
        <v>40.639999000000003</v>
      </c>
      <c r="K170">
        <v>40.009998000000003</v>
      </c>
      <c r="L170">
        <v>37.863472000000002</v>
      </c>
      <c r="M170">
        <f t="shared" si="43"/>
        <v>0.97871816633674358</v>
      </c>
      <c r="N170">
        <f t="shared" si="36"/>
        <v>1.6574289983491894</v>
      </c>
      <c r="O170">
        <f t="shared" si="30"/>
        <v>-2.1281833663256422E-2</v>
      </c>
      <c r="R170">
        <f t="shared" si="31"/>
        <v>3.6453418462123404</v>
      </c>
      <c r="S170">
        <f t="shared" si="44"/>
        <v>-9.6526363779314561E-4</v>
      </c>
      <c r="W170">
        <f t="shared" si="32"/>
        <v>0.54532961015128778</v>
      </c>
      <c r="X170">
        <f t="shared" si="33"/>
        <v>0.45467038984871228</v>
      </c>
      <c r="Y170">
        <f t="shared" si="37"/>
        <v>-9.6526363779315949E-4</v>
      </c>
      <c r="Z170">
        <f t="shared" si="38"/>
        <v>1.3877787807814457E-17</v>
      </c>
      <c r="AB170">
        <f t="shared" si="39"/>
        <v>1.6493133335150609E-2</v>
      </c>
      <c r="AC170">
        <f t="shared" si="40"/>
        <v>-2.151155702165514E-2</v>
      </c>
      <c r="AD170">
        <f t="shared" si="41"/>
        <v>-9.6572980474518306E-4</v>
      </c>
    </row>
    <row r="171" spans="1:30" x14ac:dyDescent="0.3">
      <c r="A171" s="1">
        <v>44070</v>
      </c>
      <c r="B171">
        <v>295.69000199999999</v>
      </c>
      <c r="C171">
        <v>294.67999300000002</v>
      </c>
      <c r="D171">
        <v>294.67999300000002</v>
      </c>
      <c r="E171">
        <f t="shared" si="42"/>
        <v>0.99800184230710964</v>
      </c>
      <c r="F171">
        <f t="shared" si="34"/>
        <v>1.9839406845133978</v>
      </c>
      <c r="G171">
        <f t="shared" si="35"/>
        <v>-1.9981576928903566E-3</v>
      </c>
      <c r="J171">
        <v>40</v>
      </c>
      <c r="K171">
        <v>39.740001999999997</v>
      </c>
      <c r="L171">
        <v>37.607959999999999</v>
      </c>
      <c r="M171">
        <f t="shared" si="43"/>
        <v>0.99325175461986148</v>
      </c>
      <c r="N171">
        <f t="shared" si="36"/>
        <v>1.646244260768172</v>
      </c>
      <c r="O171">
        <f t="shared" si="30"/>
        <v>-6.7482453801385178E-3</v>
      </c>
      <c r="R171">
        <f t="shared" si="31"/>
        <v>3.6301849452815698</v>
      </c>
      <c r="S171">
        <f t="shared" si="44"/>
        <v>-4.1578819134669986E-3</v>
      </c>
      <c r="W171">
        <f t="shared" si="32"/>
        <v>0.54651228915818129</v>
      </c>
      <c r="X171">
        <f t="shared" si="33"/>
        <v>0.45348771084181871</v>
      </c>
      <c r="Y171">
        <f t="shared" si="37"/>
        <v>-4.1578819134670464E-3</v>
      </c>
      <c r="Z171">
        <f t="shared" si="38"/>
        <v>4.7704895589362195E-17</v>
      </c>
      <c r="AB171">
        <f t="shared" si="39"/>
        <v>-2.0001566732690723E-3</v>
      </c>
      <c r="AC171">
        <f t="shared" si="40"/>
        <v>-6.7711177449553553E-3</v>
      </c>
      <c r="AD171">
        <f t="shared" si="41"/>
        <v>-4.1665499399007166E-3</v>
      </c>
    </row>
    <row r="172" spans="1:30" x14ac:dyDescent="0.3">
      <c r="A172" s="1">
        <v>44071</v>
      </c>
      <c r="B172">
        <v>299.22000100000002</v>
      </c>
      <c r="C172">
        <v>299.26998900000001</v>
      </c>
      <c r="D172">
        <v>299.26998900000001</v>
      </c>
      <c r="E172">
        <f t="shared" si="42"/>
        <v>1.0155762050666262</v>
      </c>
      <c r="F172">
        <f t="shared" si="34"/>
        <v>2.0148429514554009</v>
      </c>
      <c r="G172">
        <f t="shared" si="35"/>
        <v>1.5576205066626159E-2</v>
      </c>
      <c r="J172">
        <v>39.840000000000003</v>
      </c>
      <c r="K172">
        <v>40.689999</v>
      </c>
      <c r="L172">
        <v>38.506988999999997</v>
      </c>
      <c r="M172">
        <f t="shared" si="43"/>
        <v>1.0239052849449957</v>
      </c>
      <c r="N172">
        <f t="shared" si="36"/>
        <v>1.6855981989108988</v>
      </c>
      <c r="O172">
        <f t="shared" si="30"/>
        <v>2.3905284944995664E-2</v>
      </c>
      <c r="R172">
        <f t="shared" si="31"/>
        <v>3.7004411503662995</v>
      </c>
      <c r="S172">
        <f t="shared" si="44"/>
        <v>1.935334043408643E-2</v>
      </c>
      <c r="W172">
        <f t="shared" si="32"/>
        <v>0.54448722992283105</v>
      </c>
      <c r="X172">
        <f t="shared" si="33"/>
        <v>0.45551277007716895</v>
      </c>
      <c r="Y172">
        <f t="shared" si="37"/>
        <v>1.93533404340866E-2</v>
      </c>
      <c r="Z172">
        <f t="shared" si="38"/>
        <v>1.700029006457271E-16</v>
      </c>
      <c r="AB172">
        <f t="shared" si="39"/>
        <v>1.5456141139712521E-2</v>
      </c>
      <c r="AC172">
        <f t="shared" si="40"/>
        <v>2.3624027168471257E-2</v>
      </c>
      <c r="AD172">
        <f t="shared" si="41"/>
        <v>1.9168446279319712E-2</v>
      </c>
    </row>
    <row r="173" spans="1:30" s="6" customFormat="1" x14ac:dyDescent="0.3">
      <c r="A173" s="5">
        <v>44074</v>
      </c>
      <c r="B173" s="6">
        <v>304.01001000000002</v>
      </c>
      <c r="C173" s="6">
        <v>325.10000600000001</v>
      </c>
      <c r="D173" s="6">
        <v>325.10000600000001</v>
      </c>
      <c r="E173" s="6">
        <f t="shared" si="42"/>
        <v>1.0863100810285391</v>
      </c>
      <c r="F173" s="6">
        <f t="shared" si="34"/>
        <v>2.1887442098552974</v>
      </c>
      <c r="G173" s="6">
        <f t="shared" si="35"/>
        <v>8.6310081028539098E-2</v>
      </c>
      <c r="H173" s="7">
        <f>0.5*R173</f>
        <v>1.9216366836957808</v>
      </c>
      <c r="J173" s="6">
        <v>40.639999000000003</v>
      </c>
      <c r="K173" s="6">
        <v>39.939999</v>
      </c>
      <c r="L173" s="6">
        <v>37.797226000000002</v>
      </c>
      <c r="M173" s="6">
        <f t="shared" si="43"/>
        <v>0.98156794341931031</v>
      </c>
      <c r="N173" s="6">
        <f t="shared" si="36"/>
        <v>1.6545291575362644</v>
      </c>
      <c r="O173" s="6">
        <f t="shared" si="30"/>
        <v>-1.8432056580689693E-2</v>
      </c>
      <c r="P173" s="7">
        <f>0.5*R173</f>
        <v>1.9216366836957808</v>
      </c>
      <c r="R173" s="6">
        <f t="shared" si="31"/>
        <v>3.8432733673915616</v>
      </c>
      <c r="S173" s="6">
        <f t="shared" si="44"/>
        <v>3.8598699782355306E-2</v>
      </c>
      <c r="U173" s="6">
        <f>F173/R173</f>
        <v>0.56950000705799475</v>
      </c>
      <c r="V173" s="6">
        <f>N173/R173</f>
        <v>0.43049999294200536</v>
      </c>
      <c r="W173" s="7">
        <v>0.5</v>
      </c>
      <c r="X173" s="7">
        <v>0.5</v>
      </c>
      <c r="Y173" s="6">
        <f t="shared" si="37"/>
        <v>3.8598699782355271E-2</v>
      </c>
      <c r="Z173" s="6">
        <f t="shared" si="38"/>
        <v>3.4694469519536142E-17</v>
      </c>
      <c r="AB173" s="6">
        <f t="shared" si="39"/>
        <v>8.2786706565975268E-2</v>
      </c>
      <c r="AC173" s="6">
        <f t="shared" si="40"/>
        <v>-1.8604043596992657E-2</v>
      </c>
      <c r="AD173" s="6">
        <f t="shared" si="41"/>
        <v>3.7872400532781535E-2</v>
      </c>
    </row>
    <row r="174" spans="1:30" s="6" customFormat="1" x14ac:dyDescent="0.3">
      <c r="A174" s="5">
        <v>44075</v>
      </c>
      <c r="B174" s="6">
        <v>439.51001000000002</v>
      </c>
      <c r="C174" s="6">
        <v>457.69000199999999</v>
      </c>
      <c r="D174" s="6">
        <v>457.69000199999999</v>
      </c>
      <c r="E174" s="6">
        <f t="shared" si="42"/>
        <v>1.4078437205565599</v>
      </c>
      <c r="F174" s="7">
        <f>H173*E174</f>
        <v>2.7053641383322375</v>
      </c>
      <c r="G174" s="6">
        <f t="shared" si="35"/>
        <v>0.40784372055655993</v>
      </c>
      <c r="J174" s="6">
        <v>39.75</v>
      </c>
      <c r="K174" s="6">
        <v>39.43</v>
      </c>
      <c r="L174" s="6">
        <v>37.314590000000003</v>
      </c>
      <c r="M174" s="6">
        <f t="shared" si="43"/>
        <v>0.98723091477665581</v>
      </c>
      <c r="N174" s="7">
        <f>P173*M174</f>
        <v>1.8970991411133649</v>
      </c>
      <c r="O174" s="6">
        <f t="shared" si="30"/>
        <v>-1.276908522334419E-2</v>
      </c>
      <c r="R174" s="6">
        <f t="shared" si="31"/>
        <v>4.6024632794456029</v>
      </c>
      <c r="S174" s="6">
        <f t="shared" si="44"/>
        <v>0.19753731766660798</v>
      </c>
      <c r="W174" s="6">
        <f t="shared" si="32"/>
        <v>0.58780787027987247</v>
      </c>
      <c r="X174" s="6">
        <f t="shared" si="33"/>
        <v>0.41219212972012742</v>
      </c>
      <c r="Y174" s="7">
        <f t="shared" si="37"/>
        <v>0.19753731766660787</v>
      </c>
      <c r="Z174" s="6">
        <f t="shared" si="38"/>
        <v>1.1102230246251565E-16</v>
      </c>
      <c r="AB174" s="6">
        <f t="shared" si="39"/>
        <v>0.34205925765267159</v>
      </c>
      <c r="AC174" s="6">
        <f t="shared" si="40"/>
        <v>-1.2851310704789749E-2</v>
      </c>
      <c r="AD174" s="6">
        <f t="shared" si="41"/>
        <v>0.180267212795756</v>
      </c>
    </row>
    <row r="175" spans="1:30" x14ac:dyDescent="0.3">
      <c r="A175" s="1">
        <v>44076</v>
      </c>
      <c r="B175">
        <v>445.67001299999998</v>
      </c>
      <c r="C175">
        <v>423.55999800000001</v>
      </c>
      <c r="D175">
        <v>423.55999800000001</v>
      </c>
      <c r="E175">
        <f t="shared" si="42"/>
        <v>0.92542986770333691</v>
      </c>
      <c r="F175">
        <f t="shared" si="34"/>
        <v>2.5036247766261548</v>
      </c>
      <c r="G175">
        <f t="shared" si="35"/>
        <v>-7.4570132296663094E-2</v>
      </c>
      <c r="J175">
        <v>39.229999999999997</v>
      </c>
      <c r="K175">
        <v>39.189999</v>
      </c>
      <c r="L175">
        <v>37.087463</v>
      </c>
      <c r="M175">
        <f t="shared" si="43"/>
        <v>0.9939131851643016</v>
      </c>
      <c r="N175">
        <f t="shared" si="36"/>
        <v>1.8855518499164454</v>
      </c>
      <c r="O175">
        <f t="shared" si="30"/>
        <v>-6.0868148356983953E-3</v>
      </c>
      <c r="R175">
        <f t="shared" si="31"/>
        <v>4.3891766265426</v>
      </c>
      <c r="S175">
        <f t="shared" si="44"/>
        <v>-4.6341847822128579E-2</v>
      </c>
      <c r="W175">
        <f t="shared" si="32"/>
        <v>0.57040875536564728</v>
      </c>
      <c r="X175">
        <f t="shared" si="33"/>
        <v>0.42959124463435278</v>
      </c>
      <c r="Y175">
        <f t="shared" si="37"/>
        <v>-4.6341847822128454E-2</v>
      </c>
      <c r="Z175">
        <f t="shared" si="38"/>
        <v>1.2490009027033011E-16</v>
      </c>
      <c r="AB175">
        <f t="shared" si="39"/>
        <v>-7.7496927578018404E-2</v>
      </c>
      <c r="AC175">
        <f t="shared" si="40"/>
        <v>-6.1054150087359845E-3</v>
      </c>
      <c r="AD175">
        <f t="shared" si="41"/>
        <v>-4.7450002800211458E-2</v>
      </c>
    </row>
    <row r="176" spans="1:30" x14ac:dyDescent="0.3">
      <c r="A176" s="1">
        <v>44077</v>
      </c>
      <c r="B176">
        <v>399.54998799999998</v>
      </c>
      <c r="C176">
        <v>381.32000699999998</v>
      </c>
      <c r="D176">
        <v>381.32000699999998</v>
      </c>
      <c r="E176">
        <f t="shared" si="42"/>
        <v>0.90027388988702373</v>
      </c>
      <c r="F176">
        <f t="shared" si="34"/>
        <v>2.2539480164707593</v>
      </c>
      <c r="G176">
        <f t="shared" si="35"/>
        <v>-9.9726110112976274E-2</v>
      </c>
      <c r="J176">
        <v>39.200001</v>
      </c>
      <c r="K176">
        <v>39.110000999999997</v>
      </c>
      <c r="L176">
        <v>37.011757000000003</v>
      </c>
      <c r="M176">
        <f t="shared" si="43"/>
        <v>0.99795871720856189</v>
      </c>
      <c r="N176">
        <f t="shared" si="36"/>
        <v>1.8817029053728467</v>
      </c>
      <c r="O176">
        <f t="shared" si="30"/>
        <v>-2.0412827914381149E-3</v>
      </c>
      <c r="R176">
        <f t="shared" si="31"/>
        <v>4.1356509218436059</v>
      </c>
      <c r="S176">
        <f t="shared" si="44"/>
        <v>-5.7761563562024776E-2</v>
      </c>
      <c r="W176">
        <f t="shared" si="32"/>
        <v>0.5450044162494222</v>
      </c>
      <c r="X176">
        <f t="shared" si="33"/>
        <v>0.4549955837505778</v>
      </c>
      <c r="Y176">
        <f t="shared" si="37"/>
        <v>-5.7761563562024873E-2</v>
      </c>
      <c r="Z176">
        <f t="shared" si="38"/>
        <v>9.7144514654701197E-17</v>
      </c>
      <c r="AB176">
        <f t="shared" si="39"/>
        <v>-0.10505623985771007</v>
      </c>
      <c r="AC176">
        <f t="shared" si="40"/>
        <v>-2.0433690487329779E-3</v>
      </c>
      <c r="AD176">
        <f t="shared" si="41"/>
        <v>-5.9496919196771816E-2</v>
      </c>
    </row>
    <row r="177" spans="1:30" x14ac:dyDescent="0.3">
      <c r="A177" s="1">
        <v>44078</v>
      </c>
      <c r="B177">
        <v>375.5</v>
      </c>
      <c r="C177">
        <v>369.89001500000001</v>
      </c>
      <c r="D177">
        <v>369.89001500000001</v>
      </c>
      <c r="E177">
        <f t="shared" si="42"/>
        <v>0.97002519723545488</v>
      </c>
      <c r="F177">
        <f t="shared" si="34"/>
        <v>2.1863863692355108</v>
      </c>
      <c r="G177">
        <f t="shared" si="35"/>
        <v>-2.9974802764545116E-2</v>
      </c>
      <c r="J177">
        <v>39.459999000000003</v>
      </c>
      <c r="K177">
        <v>39.080002</v>
      </c>
      <c r="L177">
        <v>36.983367999999999</v>
      </c>
      <c r="M177">
        <f t="shared" si="43"/>
        <v>0.9992329734575961</v>
      </c>
      <c r="N177">
        <f t="shared" si="36"/>
        <v>1.8802595892995071</v>
      </c>
      <c r="O177">
        <f t="shared" si="30"/>
        <v>-7.6702654240390356E-4</v>
      </c>
      <c r="R177">
        <f t="shared" si="31"/>
        <v>4.0666459585350179</v>
      </c>
      <c r="S177">
        <f t="shared" si="44"/>
        <v>-1.6685393572295704E-2</v>
      </c>
      <c r="W177">
        <f t="shared" si="32"/>
        <v>0.53763873017929054</v>
      </c>
      <c r="X177">
        <f t="shared" si="33"/>
        <v>0.46236126982070946</v>
      </c>
      <c r="Y177">
        <f t="shared" si="37"/>
        <v>-1.6685393572295728E-2</v>
      </c>
      <c r="Z177">
        <f t="shared" si="38"/>
        <v>2.4286128663675299E-17</v>
      </c>
      <c r="AB177">
        <f t="shared" si="39"/>
        <v>-3.0433231290696007E-2</v>
      </c>
      <c r="AC177">
        <f t="shared" si="40"/>
        <v>-7.6732085777036845E-4</v>
      </c>
      <c r="AD177">
        <f t="shared" si="41"/>
        <v>-1.6826162808535612E-2</v>
      </c>
    </row>
    <row r="178" spans="1:30" x14ac:dyDescent="0.3">
      <c r="A178" s="1">
        <v>44082</v>
      </c>
      <c r="B178">
        <v>350.70001200000002</v>
      </c>
      <c r="C178">
        <v>350.88000499999998</v>
      </c>
      <c r="D178">
        <v>350.88000499999998</v>
      </c>
      <c r="E178">
        <f t="shared" si="42"/>
        <v>0.9486063174752094</v>
      </c>
      <c r="F178">
        <f t="shared" si="34"/>
        <v>2.0740199222984912</v>
      </c>
      <c r="G178">
        <f t="shared" si="35"/>
        <v>-5.1393682524790596E-2</v>
      </c>
      <c r="J178">
        <v>38.25</v>
      </c>
      <c r="K178">
        <v>38.18</v>
      </c>
      <c r="L178">
        <v>36.131653</v>
      </c>
      <c r="M178">
        <f t="shared" si="43"/>
        <v>0.97697032352488833</v>
      </c>
      <c r="N178">
        <f t="shared" si="36"/>
        <v>1.836957819268713</v>
      </c>
      <c r="O178">
        <f t="shared" si="30"/>
        <v>-2.3029676475111671E-2</v>
      </c>
      <c r="R178">
        <f t="shared" si="31"/>
        <v>3.910977741567204</v>
      </c>
      <c r="S178">
        <f t="shared" si="44"/>
        <v>-3.8279264670458835E-2</v>
      </c>
      <c r="W178">
        <f t="shared" si="32"/>
        <v>0.53030726824525254</v>
      </c>
      <c r="X178">
        <f t="shared" si="33"/>
        <v>0.46969273175474752</v>
      </c>
      <c r="Y178">
        <f t="shared" si="37"/>
        <v>-3.8279264670458765E-2</v>
      </c>
      <c r="Z178">
        <f t="shared" si="38"/>
        <v>6.9388939039072284E-17</v>
      </c>
      <c r="AB178">
        <f t="shared" si="39"/>
        <v>-5.2761405772502469E-2</v>
      </c>
      <c r="AC178">
        <f t="shared" si="40"/>
        <v>-2.3299002503155523E-2</v>
      </c>
      <c r="AD178">
        <f t="shared" si="41"/>
        <v>-3.903116637568399E-2</v>
      </c>
    </row>
    <row r="179" spans="1:30" x14ac:dyDescent="0.3">
      <c r="A179" s="1">
        <v>44083</v>
      </c>
      <c r="B179">
        <v>369.75</v>
      </c>
      <c r="C179">
        <v>389.64999399999999</v>
      </c>
      <c r="D179">
        <v>389.64999399999999</v>
      </c>
      <c r="E179">
        <f t="shared" si="42"/>
        <v>1.1104935831268015</v>
      </c>
      <c r="F179">
        <f t="shared" si="34"/>
        <v>2.303185814989622</v>
      </c>
      <c r="G179">
        <f t="shared" si="35"/>
        <v>0.11049358312680146</v>
      </c>
      <c r="J179">
        <v>38.349997999999999</v>
      </c>
      <c r="K179">
        <v>37.950001</v>
      </c>
      <c r="L179">
        <v>35.913994000000002</v>
      </c>
      <c r="M179">
        <f t="shared" si="43"/>
        <v>0.99397594679656653</v>
      </c>
      <c r="N179">
        <f t="shared" si="36"/>
        <v>1.8258918876329753</v>
      </c>
      <c r="O179">
        <f t="shared" si="30"/>
        <v>-6.024053203433466E-3</v>
      </c>
      <c r="R179">
        <f t="shared" si="31"/>
        <v>4.1290777026225971</v>
      </c>
      <c r="S179">
        <f t="shared" si="44"/>
        <v>5.5766096221247174E-2</v>
      </c>
      <c r="W179">
        <f t="shared" si="32"/>
        <v>0.55779667539962885</v>
      </c>
      <c r="X179">
        <f t="shared" si="33"/>
        <v>0.44220332460037121</v>
      </c>
      <c r="Y179">
        <f t="shared" si="37"/>
        <v>5.5766096221247216E-2</v>
      </c>
      <c r="Z179">
        <f t="shared" si="38"/>
        <v>4.163336342344337E-17</v>
      </c>
      <c r="AB179">
        <f t="shared" si="39"/>
        <v>0.1048045859716714</v>
      </c>
      <c r="AC179">
        <f t="shared" si="40"/>
        <v>-6.042271012145114E-3</v>
      </c>
      <c r="AD179">
        <f t="shared" si="41"/>
        <v>5.4266660958882489E-2</v>
      </c>
    </row>
    <row r="180" spans="1:30" x14ac:dyDescent="0.3">
      <c r="A180" s="1">
        <v>44084</v>
      </c>
      <c r="B180">
        <v>400</v>
      </c>
      <c r="C180">
        <v>384.48001099999999</v>
      </c>
      <c r="D180">
        <v>384.48001099999999</v>
      </c>
      <c r="E180">
        <f t="shared" si="42"/>
        <v>0.98673172570355538</v>
      </c>
      <c r="F180">
        <f t="shared" si="34"/>
        <v>2.2726265138406596</v>
      </c>
      <c r="G180">
        <f t="shared" si="35"/>
        <v>-1.3268274296444615E-2</v>
      </c>
      <c r="J180">
        <v>38.270000000000003</v>
      </c>
      <c r="K180">
        <v>37</v>
      </c>
      <c r="L180">
        <v>35.014957000000003</v>
      </c>
      <c r="M180">
        <f t="shared" si="43"/>
        <v>0.97496694464001976</v>
      </c>
      <c r="N180">
        <f t="shared" si="36"/>
        <v>1.7801842349285202</v>
      </c>
      <c r="O180">
        <f t="shared" si="30"/>
        <v>-2.5033055359980239E-2</v>
      </c>
      <c r="R180">
        <f t="shared" si="31"/>
        <v>4.05281074876918</v>
      </c>
      <c r="S180">
        <f t="shared" si="44"/>
        <v>-1.8470699595935391E-2</v>
      </c>
      <c r="W180">
        <f t="shared" si="32"/>
        <v>0.5607531796373284</v>
      </c>
      <c r="X180">
        <f t="shared" si="33"/>
        <v>0.43924682036267149</v>
      </c>
      <c r="Y180">
        <f t="shared" si="37"/>
        <v>-1.8470699595935561E-2</v>
      </c>
      <c r="Z180">
        <f t="shared" si="38"/>
        <v>1.700029006457271E-16</v>
      </c>
      <c r="AB180">
        <f t="shared" si="39"/>
        <v>-1.335708429290621E-2</v>
      </c>
      <c r="AC180">
        <f t="shared" si="40"/>
        <v>-2.5351711492320374E-2</v>
      </c>
      <c r="AD180">
        <f t="shared" si="41"/>
        <v>-1.8643413032584578E-2</v>
      </c>
    </row>
    <row r="181" spans="1:30" x14ac:dyDescent="0.3">
      <c r="A181" s="1">
        <v>44085</v>
      </c>
      <c r="B181">
        <v>389.13000499999998</v>
      </c>
      <c r="C181">
        <v>383</v>
      </c>
      <c r="D181">
        <v>383</v>
      </c>
      <c r="E181">
        <f t="shared" si="42"/>
        <v>0.9961506165271099</v>
      </c>
      <c r="F181">
        <f t="shared" si="34"/>
        <v>2.2638783028982297</v>
      </c>
      <c r="G181">
        <f t="shared" si="35"/>
        <v>-3.8493834728901E-3</v>
      </c>
      <c r="J181">
        <v>37.130001</v>
      </c>
      <c r="K181">
        <v>36.900002000000001</v>
      </c>
      <c r="L181">
        <v>34.920326000000003</v>
      </c>
      <c r="M181">
        <f t="shared" si="43"/>
        <v>0.99729741207450295</v>
      </c>
      <c r="N181">
        <f t="shared" si="36"/>
        <v>1.7753731305100422</v>
      </c>
      <c r="O181">
        <f t="shared" si="30"/>
        <v>-2.7025879254970464E-3</v>
      </c>
      <c r="R181">
        <f t="shared" si="31"/>
        <v>4.0392514334082721</v>
      </c>
      <c r="S181">
        <f t="shared" si="44"/>
        <v>-3.3456571750916098E-3</v>
      </c>
      <c r="W181">
        <f t="shared" si="32"/>
        <v>0.56046976530698323</v>
      </c>
      <c r="X181">
        <f t="shared" si="33"/>
        <v>0.43953023469301677</v>
      </c>
      <c r="Y181">
        <f t="shared" si="37"/>
        <v>-3.3456571750916314E-3</v>
      </c>
      <c r="Z181">
        <f t="shared" si="38"/>
        <v>2.1684043449710089E-17</v>
      </c>
      <c r="AB181">
        <f t="shared" si="39"/>
        <v>-3.8568114175831377E-3</v>
      </c>
      <c r="AC181">
        <f t="shared" si="40"/>
        <v>-2.7062465094945701E-3</v>
      </c>
      <c r="AD181">
        <f t="shared" si="41"/>
        <v>-3.3512664005829443E-3</v>
      </c>
    </row>
    <row r="182" spans="1:30" x14ac:dyDescent="0.3">
      <c r="A182" s="1">
        <v>44088</v>
      </c>
      <c r="B182">
        <v>391.74499500000002</v>
      </c>
      <c r="C182">
        <v>403.51001000000002</v>
      </c>
      <c r="D182">
        <v>403.51001000000002</v>
      </c>
      <c r="E182">
        <f t="shared" si="42"/>
        <v>1.0535509399477807</v>
      </c>
      <c r="F182">
        <f t="shared" si="34"/>
        <v>2.3851111139458165</v>
      </c>
      <c r="G182">
        <f t="shared" si="35"/>
        <v>5.3550939947780707E-2</v>
      </c>
      <c r="J182">
        <v>36.909999999999997</v>
      </c>
      <c r="K182">
        <v>36.659999999999997</v>
      </c>
      <c r="L182">
        <v>34.693199</v>
      </c>
      <c r="M182">
        <f t="shared" si="43"/>
        <v>0.99349585109829719</v>
      </c>
      <c r="N182">
        <f t="shared" si="36"/>
        <v>1.7638258393131225</v>
      </c>
      <c r="O182">
        <f t="shared" si="30"/>
        <v>-6.5041489017028109E-3</v>
      </c>
      <c r="R182">
        <f t="shared" si="31"/>
        <v>4.1489369532589393</v>
      </c>
      <c r="S182">
        <f t="shared" si="44"/>
        <v>2.7154912651257135E-2</v>
      </c>
      <c r="W182">
        <f t="shared" si="32"/>
        <v>0.57487282665800477</v>
      </c>
      <c r="X182">
        <f t="shared" si="33"/>
        <v>0.42512717334199518</v>
      </c>
      <c r="Y182">
        <f t="shared" si="37"/>
        <v>2.7154912651257242E-2</v>
      </c>
      <c r="Z182">
        <f t="shared" si="38"/>
        <v>1.0755285551056204E-16</v>
      </c>
      <c r="AB182">
        <f t="shared" si="39"/>
        <v>5.2166306152253088E-2</v>
      </c>
      <c r="AC182">
        <f t="shared" si="40"/>
        <v>-6.5253930449870401E-3</v>
      </c>
      <c r="AD182">
        <f t="shared" si="41"/>
        <v>2.6792759543229266E-2</v>
      </c>
    </row>
    <row r="183" spans="1:30" x14ac:dyDescent="0.3">
      <c r="A183" s="1">
        <v>44089</v>
      </c>
      <c r="B183">
        <v>410</v>
      </c>
      <c r="C183">
        <v>410.94000199999999</v>
      </c>
      <c r="D183">
        <v>410.94000199999999</v>
      </c>
      <c r="E183">
        <f t="shared" si="42"/>
        <v>1.0184134019376618</v>
      </c>
      <c r="F183">
        <f t="shared" si="34"/>
        <v>2.4290291235528851</v>
      </c>
      <c r="G183">
        <f t="shared" si="35"/>
        <v>1.8413401937661833E-2</v>
      </c>
      <c r="J183">
        <v>36.799999</v>
      </c>
      <c r="K183">
        <v>36.270000000000003</v>
      </c>
      <c r="L183">
        <v>34.324123</v>
      </c>
      <c r="M183">
        <f t="shared" si="43"/>
        <v>0.98936171899282044</v>
      </c>
      <c r="N183">
        <f t="shared" si="36"/>
        <v>1.7450617643867852</v>
      </c>
      <c r="O183">
        <f t="shared" si="30"/>
        <v>-1.0638281007179562E-2</v>
      </c>
      <c r="R183">
        <f t="shared" si="31"/>
        <v>4.1740908879396699</v>
      </c>
      <c r="S183">
        <f t="shared" si="44"/>
        <v>6.0627420864933779E-3</v>
      </c>
      <c r="W183">
        <f t="shared" si="32"/>
        <v>0.58193009897584025</v>
      </c>
      <c r="X183">
        <f t="shared" si="33"/>
        <v>0.41806990102415981</v>
      </c>
      <c r="Y183">
        <f t="shared" si="37"/>
        <v>6.0627420864935591E-3</v>
      </c>
      <c r="Z183">
        <f t="shared" si="38"/>
        <v>1.8127860323957634E-16</v>
      </c>
      <c r="AB183">
        <f t="shared" si="39"/>
        <v>1.8245927971860199E-2</v>
      </c>
      <c r="AC183">
        <f t="shared" si="40"/>
        <v>-1.0695272070241424E-2</v>
      </c>
      <c r="AD183">
        <f t="shared" si="41"/>
        <v>6.0444376119702155E-3</v>
      </c>
    </row>
    <row r="184" spans="1:30" x14ac:dyDescent="0.3">
      <c r="A184" s="1">
        <v>44090</v>
      </c>
      <c r="B184">
        <v>406.27398699999998</v>
      </c>
      <c r="C184">
        <v>408.17001299999998</v>
      </c>
      <c r="D184">
        <v>408.17001299999998</v>
      </c>
      <c r="E184">
        <f t="shared" si="42"/>
        <v>0.99325938339777398</v>
      </c>
      <c r="F184">
        <f t="shared" si="34"/>
        <v>2.4126559695153742</v>
      </c>
      <c r="G184">
        <f t="shared" si="35"/>
        <v>-6.7406166022260239E-3</v>
      </c>
      <c r="J184">
        <v>36.459999000000003</v>
      </c>
      <c r="K184">
        <v>37.810001</v>
      </c>
      <c r="L184">
        <v>35.781502000000003</v>
      </c>
      <c r="M184">
        <f t="shared" si="43"/>
        <v>1.0424593222673162</v>
      </c>
      <c r="N184">
        <f t="shared" si="36"/>
        <v>1.8191559042172551</v>
      </c>
      <c r="O184">
        <f t="shared" si="30"/>
        <v>4.2459322267316191E-2</v>
      </c>
      <c r="R184">
        <f t="shared" si="31"/>
        <v>4.2318118737326298</v>
      </c>
      <c r="S184">
        <f t="shared" si="44"/>
        <v>1.3828396971358403E-2</v>
      </c>
      <c r="W184">
        <f t="shared" si="32"/>
        <v>0.5701236353371526</v>
      </c>
      <c r="X184">
        <f t="shared" si="33"/>
        <v>0.42987636466284734</v>
      </c>
      <c r="Y184">
        <f t="shared" si="37"/>
        <v>1.3828396971358204E-2</v>
      </c>
      <c r="Z184">
        <f t="shared" si="38"/>
        <v>1.9949319973733282E-16</v>
      </c>
      <c r="AB184">
        <f t="shared" si="39"/>
        <v>-6.7634371659074637E-3</v>
      </c>
      <c r="AC184">
        <f t="shared" si="40"/>
        <v>4.1582654521692387E-2</v>
      </c>
      <c r="AD184">
        <f t="shared" si="41"/>
        <v>1.3733657091286698E-2</v>
      </c>
    </row>
    <row r="185" spans="1:30" x14ac:dyDescent="0.3">
      <c r="A185" s="1">
        <v>44091</v>
      </c>
      <c r="B185">
        <v>389</v>
      </c>
      <c r="C185">
        <v>413.125</v>
      </c>
      <c r="D185">
        <v>413.125</v>
      </c>
      <c r="E185">
        <f t="shared" si="42"/>
        <v>1.0121395174613184</v>
      </c>
      <c r="F185">
        <f t="shared" si="34"/>
        <v>2.4419444487854602</v>
      </c>
      <c r="G185">
        <f t="shared" si="35"/>
        <v>1.2139517461318361E-2</v>
      </c>
      <c r="J185">
        <v>37.349997999999999</v>
      </c>
      <c r="K185">
        <v>37.799999</v>
      </c>
      <c r="L185">
        <v>35.772038000000002</v>
      </c>
      <c r="M185">
        <f t="shared" si="43"/>
        <v>0.99973550579290937</v>
      </c>
      <c r="N185">
        <f t="shared" si="36"/>
        <v>1.818674748018795</v>
      </c>
      <c r="O185">
        <f t="shared" si="30"/>
        <v>-2.6449420709062643E-4</v>
      </c>
      <c r="R185">
        <f t="shared" si="31"/>
        <v>4.2606191968042548</v>
      </c>
      <c r="S185">
        <f t="shared" si="44"/>
        <v>6.8073260180669948E-3</v>
      </c>
      <c r="W185">
        <f t="shared" si="32"/>
        <v>0.57314308929957403</v>
      </c>
      <c r="X185">
        <f t="shared" si="33"/>
        <v>0.42685691070042608</v>
      </c>
      <c r="Y185">
        <f t="shared" si="37"/>
        <v>6.8073260180671648E-3</v>
      </c>
      <c r="Z185">
        <f t="shared" si="38"/>
        <v>1.700029006457271E-16</v>
      </c>
      <c r="AB185">
        <f t="shared" si="39"/>
        <v>1.2066424467098926E-2</v>
      </c>
      <c r="AC185">
        <f t="shared" si="40"/>
        <v>-2.645291918523992E-4</v>
      </c>
      <c r="AD185">
        <f t="shared" si="41"/>
        <v>6.7842607901611182E-3</v>
      </c>
    </row>
    <row r="186" spans="1:30" x14ac:dyDescent="0.3">
      <c r="A186" s="1">
        <v>44092</v>
      </c>
      <c r="B186">
        <v>419.79998799999998</v>
      </c>
      <c r="C186">
        <v>438.73001099999999</v>
      </c>
      <c r="D186">
        <v>438.73001099999999</v>
      </c>
      <c r="E186">
        <f t="shared" si="42"/>
        <v>1.0619788465960665</v>
      </c>
      <c r="F186">
        <f t="shared" si="34"/>
        <v>2.5932933491728503</v>
      </c>
      <c r="G186">
        <f t="shared" si="35"/>
        <v>6.197884659606645E-2</v>
      </c>
      <c r="J186">
        <v>37.529998999999997</v>
      </c>
      <c r="K186">
        <v>37.189999</v>
      </c>
      <c r="L186">
        <v>35.194766999999999</v>
      </c>
      <c r="M186">
        <f t="shared" si="43"/>
        <v>0.98386250735840086</v>
      </c>
      <c r="N186">
        <f t="shared" si="36"/>
        <v>1.7893258976551796</v>
      </c>
      <c r="O186">
        <f t="shared" si="30"/>
        <v>-1.6137492641599138E-2</v>
      </c>
      <c r="R186">
        <f t="shared" si="31"/>
        <v>4.3826192468280301</v>
      </c>
      <c r="S186">
        <f t="shared" si="44"/>
        <v>2.8634347353850176E-2</v>
      </c>
      <c r="W186">
        <f t="shared" si="32"/>
        <v>0.5917222562853881</v>
      </c>
      <c r="X186">
        <f t="shared" si="33"/>
        <v>0.40827774371461184</v>
      </c>
      <c r="Y186">
        <f t="shared" si="37"/>
        <v>2.8634347353850047E-2</v>
      </c>
      <c r="Z186">
        <f t="shared" si="38"/>
        <v>1.2836953722228372E-16</v>
      </c>
      <c r="AB186">
        <f t="shared" si="39"/>
        <v>6.0134004161924159E-2</v>
      </c>
      <c r="AC186">
        <f t="shared" si="40"/>
        <v>-1.6269119987099259E-2</v>
      </c>
      <c r="AD186">
        <f t="shared" si="41"/>
        <v>2.8232046134290093E-2</v>
      </c>
    </row>
    <row r="187" spans="1:30" x14ac:dyDescent="0.3">
      <c r="A187" s="1">
        <v>44095</v>
      </c>
      <c r="B187">
        <v>434</v>
      </c>
      <c r="C187">
        <v>468.47000100000002</v>
      </c>
      <c r="D187">
        <v>468.47000100000002</v>
      </c>
      <c r="E187">
        <f t="shared" si="42"/>
        <v>1.0677865412767489</v>
      </c>
      <c r="F187">
        <f t="shared" si="34"/>
        <v>2.7690837358292741</v>
      </c>
      <c r="G187">
        <f t="shared" si="35"/>
        <v>6.778654127674888E-2</v>
      </c>
      <c r="J187">
        <v>36.43</v>
      </c>
      <c r="K187">
        <v>36.43</v>
      </c>
      <c r="L187">
        <v>34.475535999999998</v>
      </c>
      <c r="M187">
        <f t="shared" si="43"/>
        <v>0.97956426306217625</v>
      </c>
      <c r="N187">
        <f t="shared" si="36"/>
        <v>1.752759704314663</v>
      </c>
      <c r="O187">
        <f t="shared" si="30"/>
        <v>-2.0435736937823745E-2</v>
      </c>
      <c r="R187">
        <f t="shared" si="31"/>
        <v>4.5218434401439369</v>
      </c>
      <c r="S187">
        <f t="shared" si="44"/>
        <v>3.1767348581940302E-2</v>
      </c>
      <c r="W187">
        <f t="shared" si="32"/>
        <v>0.61237939183076406</v>
      </c>
      <c r="X187">
        <f t="shared" si="33"/>
        <v>0.38762060816923599</v>
      </c>
      <c r="Y187">
        <f t="shared" si="37"/>
        <v>3.1767348581940413E-2</v>
      </c>
      <c r="Z187">
        <f t="shared" si="38"/>
        <v>1.1102230246251565E-16</v>
      </c>
      <c r="AB187">
        <f t="shared" si="39"/>
        <v>6.5587852843388958E-2</v>
      </c>
      <c r="AC187">
        <f t="shared" si="40"/>
        <v>-2.0647435722929965E-2</v>
      </c>
      <c r="AD187">
        <f t="shared" si="41"/>
        <v>3.1273204223935494E-2</v>
      </c>
    </row>
    <row r="188" spans="1:30" x14ac:dyDescent="0.3">
      <c r="A188" s="1">
        <v>44096</v>
      </c>
      <c r="B188">
        <v>477</v>
      </c>
      <c r="C188">
        <v>492.60000600000001</v>
      </c>
      <c r="D188">
        <v>492.60000600000001</v>
      </c>
      <c r="E188">
        <f t="shared" si="42"/>
        <v>1.0515081114019935</v>
      </c>
      <c r="F188">
        <f t="shared" si="34"/>
        <v>2.9117140093758169</v>
      </c>
      <c r="G188">
        <f t="shared" si="35"/>
        <v>5.1508111401993517E-2</v>
      </c>
      <c r="J188">
        <v>36.459999000000003</v>
      </c>
      <c r="K188">
        <v>35.529998999999997</v>
      </c>
      <c r="L188">
        <v>33.623824999999997</v>
      </c>
      <c r="M188">
        <f t="shared" si="43"/>
        <v>0.97529520643275858</v>
      </c>
      <c r="N188">
        <f t="shared" si="36"/>
        <v>1.70945813764659</v>
      </c>
      <c r="O188">
        <f t="shared" si="30"/>
        <v>-2.4704793567241423E-2</v>
      </c>
      <c r="R188">
        <f t="shared" si="31"/>
        <v>4.6211721470224072</v>
      </c>
      <c r="S188">
        <f t="shared" si="44"/>
        <v>2.1966418827474632E-2</v>
      </c>
      <c r="W188">
        <f t="shared" si="32"/>
        <v>0.63008126872138759</v>
      </c>
      <c r="X188">
        <f t="shared" si="33"/>
        <v>0.36991873127861236</v>
      </c>
      <c r="Y188">
        <f t="shared" si="37"/>
        <v>2.1966418827474486E-2</v>
      </c>
      <c r="Z188">
        <f t="shared" si="38"/>
        <v>1.457167719820518E-16</v>
      </c>
      <c r="AB188">
        <f t="shared" si="39"/>
        <v>5.0225430255441475E-2</v>
      </c>
      <c r="AC188">
        <f t="shared" si="40"/>
        <v>-2.5015077983170649E-2</v>
      </c>
      <c r="AD188">
        <f t="shared" si="41"/>
        <v>2.1728632951525013E-2</v>
      </c>
    </row>
    <row r="189" spans="1:30" x14ac:dyDescent="0.3">
      <c r="A189" s="1">
        <v>44097</v>
      </c>
      <c r="B189">
        <v>489.48998999999998</v>
      </c>
      <c r="C189">
        <v>500.52999899999998</v>
      </c>
      <c r="D189">
        <v>500.52999899999998</v>
      </c>
      <c r="E189">
        <f t="shared" si="42"/>
        <v>1.0160982397551981</v>
      </c>
      <c r="F189">
        <f t="shared" si="34"/>
        <v>2.9585874795973179</v>
      </c>
      <c r="G189">
        <f t="shared" si="35"/>
        <v>1.6098239755198085E-2</v>
      </c>
      <c r="J189">
        <v>35.650002000000001</v>
      </c>
      <c r="K189">
        <v>34.389999000000003</v>
      </c>
      <c r="L189">
        <v>32.544983000000002</v>
      </c>
      <c r="M189">
        <f t="shared" si="43"/>
        <v>0.96791435834560779</v>
      </c>
      <c r="N189">
        <f t="shared" si="36"/>
        <v>1.654609076418877</v>
      </c>
      <c r="O189">
        <f t="shared" si="30"/>
        <v>-3.2085641654392205E-2</v>
      </c>
      <c r="R189">
        <f t="shared" si="31"/>
        <v>4.6131965560161952</v>
      </c>
      <c r="S189">
        <f t="shared" si="44"/>
        <v>-1.7258805239166453E-3</v>
      </c>
      <c r="W189">
        <f t="shared" si="32"/>
        <v>0.64133132930114234</v>
      </c>
      <c r="X189">
        <f t="shared" si="33"/>
        <v>0.35866867069885766</v>
      </c>
      <c r="Y189">
        <f t="shared" si="37"/>
        <v>-1.7258805239166713E-3</v>
      </c>
      <c r="Z189">
        <f t="shared" si="38"/>
        <v>2.6020852139652106E-17</v>
      </c>
      <c r="AB189">
        <f t="shared" si="39"/>
        <v>1.5970037154294077E-2</v>
      </c>
      <c r="AC189">
        <f t="shared" si="40"/>
        <v>-3.2611668402970619E-2</v>
      </c>
      <c r="AD189">
        <f t="shared" si="41"/>
        <v>-1.7273715715350605E-3</v>
      </c>
    </row>
    <row r="190" spans="1:30" x14ac:dyDescent="0.3">
      <c r="A190" s="1">
        <v>44098</v>
      </c>
      <c r="B190">
        <v>487.01001000000002</v>
      </c>
      <c r="C190">
        <v>464.98001099999999</v>
      </c>
      <c r="D190">
        <v>464.98001099999999</v>
      </c>
      <c r="E190">
        <f t="shared" si="42"/>
        <v>0.92897531002931955</v>
      </c>
      <c r="F190">
        <f t="shared" si="34"/>
        <v>2.7484547211077817</v>
      </c>
      <c r="G190">
        <f t="shared" si="35"/>
        <v>-7.1024689970680455E-2</v>
      </c>
      <c r="J190">
        <v>34.400002000000001</v>
      </c>
      <c r="K190">
        <v>34.32</v>
      </c>
      <c r="L190">
        <v>32.478740999999999</v>
      </c>
      <c r="M190">
        <f t="shared" si="43"/>
        <v>0.99796460179438407</v>
      </c>
      <c r="N190">
        <f t="shared" si="36"/>
        <v>1.6512412880737382</v>
      </c>
      <c r="O190">
        <f t="shared" si="30"/>
        <v>-2.0353982056159348E-3</v>
      </c>
      <c r="R190">
        <f t="shared" si="31"/>
        <v>4.39969600918152</v>
      </c>
      <c r="S190">
        <f t="shared" si="44"/>
        <v>-4.6280392400849135E-2</v>
      </c>
      <c r="W190">
        <f t="shared" si="32"/>
        <v>0.62469195948360068</v>
      </c>
      <c r="X190">
        <f t="shared" si="33"/>
        <v>0.37530804051639927</v>
      </c>
      <c r="Y190">
        <f t="shared" si="37"/>
        <v>-4.6280392400849114E-2</v>
      </c>
      <c r="Z190">
        <f t="shared" si="38"/>
        <v>2.0816681711721685E-17</v>
      </c>
      <c r="AB190">
        <f t="shared" si="39"/>
        <v>-7.3673117454389078E-2</v>
      </c>
      <c r="AC190">
        <f t="shared" si="40"/>
        <v>-2.0374724436217789E-3</v>
      </c>
      <c r="AD190">
        <f t="shared" si="41"/>
        <v>-4.7385563104418951E-2</v>
      </c>
    </row>
    <row r="191" spans="1:30" x14ac:dyDescent="0.3">
      <c r="A191" s="1">
        <v>44099</v>
      </c>
      <c r="B191">
        <v>474.86999500000002</v>
      </c>
      <c r="C191">
        <v>496.5</v>
      </c>
      <c r="D191">
        <v>496.5</v>
      </c>
      <c r="E191">
        <f t="shared" si="42"/>
        <v>1.0677878365829365</v>
      </c>
      <c r="F191">
        <f t="shared" si="34"/>
        <v>2.9347665205978362</v>
      </c>
      <c r="G191">
        <f t="shared" si="35"/>
        <v>6.7787836582936523E-2</v>
      </c>
      <c r="J191">
        <v>34</v>
      </c>
      <c r="K191">
        <v>34.639999000000003</v>
      </c>
      <c r="L191">
        <v>32.781573999999999</v>
      </c>
      <c r="M191">
        <f t="shared" si="43"/>
        <v>1.0093240375296566</v>
      </c>
      <c r="N191">
        <f t="shared" si="36"/>
        <v>1.6666375238142561</v>
      </c>
      <c r="O191">
        <f t="shared" si="30"/>
        <v>9.3240375296566036E-3</v>
      </c>
      <c r="R191">
        <f t="shared" si="31"/>
        <v>4.6014040444120923</v>
      </c>
      <c r="S191">
        <f t="shared" si="44"/>
        <v>4.584590271910538E-2</v>
      </c>
      <c r="W191">
        <f t="shared" si="32"/>
        <v>0.63779804865469114</v>
      </c>
      <c r="X191">
        <f t="shared" si="33"/>
        <v>0.36220195134530886</v>
      </c>
      <c r="Y191">
        <f t="shared" si="37"/>
        <v>4.5845902719105512E-2</v>
      </c>
      <c r="Z191">
        <f t="shared" si="38"/>
        <v>1.3183898417423734E-16</v>
      </c>
      <c r="AB191">
        <f t="shared" si="39"/>
        <v>6.5589065918616948E-2</v>
      </c>
      <c r="AC191">
        <f t="shared" si="40"/>
        <v>9.2808370195595121E-3</v>
      </c>
      <c r="AD191">
        <f t="shared" si="41"/>
        <v>4.4826034253766932E-2</v>
      </c>
    </row>
    <row r="192" spans="1:30" x14ac:dyDescent="0.3">
      <c r="A192" s="1">
        <v>44102</v>
      </c>
      <c r="B192">
        <v>502.41000400000001</v>
      </c>
      <c r="C192">
        <v>487.66000400000001</v>
      </c>
      <c r="D192">
        <v>487.66000400000001</v>
      </c>
      <c r="E192">
        <f t="shared" si="42"/>
        <v>0.98219537562940584</v>
      </c>
      <c r="F192">
        <f t="shared" si="34"/>
        <v>2.8825141050831959</v>
      </c>
      <c r="G192">
        <f t="shared" si="35"/>
        <v>-1.7804624370594158E-2</v>
      </c>
      <c r="J192">
        <v>35.139999000000003</v>
      </c>
      <c r="K192">
        <v>35.310001</v>
      </c>
      <c r="L192">
        <v>33.415627000000001</v>
      </c>
      <c r="M192">
        <f t="shared" si="43"/>
        <v>1.0193417497280637</v>
      </c>
      <c r="N192">
        <f t="shared" si="36"/>
        <v>1.6988732096872712</v>
      </c>
      <c r="O192">
        <f t="shared" si="30"/>
        <v>1.9341749728063684E-2</v>
      </c>
      <c r="R192">
        <f t="shared" si="31"/>
        <v>4.5813873147704669</v>
      </c>
      <c r="S192">
        <f t="shared" si="44"/>
        <v>-4.3501351866575E-3</v>
      </c>
      <c r="W192">
        <f t="shared" si="32"/>
        <v>0.62917930902500296</v>
      </c>
      <c r="X192">
        <f t="shared" si="33"/>
        <v>0.37082069097499715</v>
      </c>
      <c r="Y192">
        <f t="shared" si="37"/>
        <v>-4.3501351866574479E-3</v>
      </c>
      <c r="Z192">
        <f t="shared" si="38"/>
        <v>5.2041704279304213E-17</v>
      </c>
      <c r="AB192">
        <f t="shared" si="39"/>
        <v>-1.7965033564205587E-2</v>
      </c>
      <c r="AC192">
        <f t="shared" si="40"/>
        <v>1.9157075568634427E-2</v>
      </c>
      <c r="AD192">
        <f t="shared" si="41"/>
        <v>-4.359624554750822E-3</v>
      </c>
    </row>
    <row r="193" spans="1:30" x14ac:dyDescent="0.3">
      <c r="A193" s="1">
        <v>44103</v>
      </c>
      <c r="B193">
        <v>488.13000499999998</v>
      </c>
      <c r="C193">
        <v>465.5</v>
      </c>
      <c r="D193">
        <v>465.5</v>
      </c>
      <c r="E193">
        <f t="shared" si="42"/>
        <v>0.954558496045946</v>
      </c>
      <c r="F193">
        <f t="shared" si="34"/>
        <v>2.7515283289794414</v>
      </c>
      <c r="G193">
        <f t="shared" si="35"/>
        <v>-4.5441503954053997E-2</v>
      </c>
      <c r="J193">
        <v>35</v>
      </c>
      <c r="K193">
        <v>34.279998999999997</v>
      </c>
      <c r="L193">
        <v>32.440883999999997</v>
      </c>
      <c r="M193">
        <f t="shared" si="43"/>
        <v>0.97082972586448835</v>
      </c>
      <c r="N193">
        <f t="shared" si="36"/>
        <v>1.6493166124392169</v>
      </c>
      <c r="O193">
        <f t="shared" si="30"/>
        <v>-2.9170274135511653E-2</v>
      </c>
      <c r="R193">
        <f t="shared" si="31"/>
        <v>4.4008449414186579</v>
      </c>
      <c r="S193">
        <f t="shared" si="44"/>
        <v>-3.9407795269729262E-2</v>
      </c>
      <c r="W193">
        <f t="shared" si="32"/>
        <v>0.62522728376166281</v>
      </c>
      <c r="X193">
        <f t="shared" si="33"/>
        <v>0.3747727162383373</v>
      </c>
      <c r="Y193">
        <f t="shared" si="37"/>
        <v>-3.9407795269729151E-2</v>
      </c>
      <c r="Z193">
        <f t="shared" si="38"/>
        <v>1.1102230246251565E-16</v>
      </c>
      <c r="AB193">
        <f t="shared" si="39"/>
        <v>-4.6506353203899911E-2</v>
      </c>
      <c r="AC193">
        <f t="shared" si="40"/>
        <v>-2.9604185630931843E-2</v>
      </c>
      <c r="AD193">
        <f t="shared" si="41"/>
        <v>-4.0205304785099018E-2</v>
      </c>
    </row>
    <row r="194" spans="1:30" s="6" customFormat="1" x14ac:dyDescent="0.3">
      <c r="A194" s="5">
        <v>44104</v>
      </c>
      <c r="B194" s="6">
        <v>464.209991</v>
      </c>
      <c r="C194" s="6">
        <v>470.10998499999999</v>
      </c>
      <c r="D194" s="6">
        <v>470.10998499999999</v>
      </c>
      <c r="E194" s="6">
        <f t="shared" si="42"/>
        <v>1.0099032975295381</v>
      </c>
      <c r="F194" s="6">
        <f t="shared" si="34"/>
        <v>2.7787775326822777</v>
      </c>
      <c r="G194" s="6">
        <f t="shared" si="35"/>
        <v>9.9032975295381132E-3</v>
      </c>
      <c r="H194" s="7">
        <f>0.5*R194</f>
        <v>2.2152499884772379</v>
      </c>
      <c r="J194" s="6">
        <v>34.639999000000003</v>
      </c>
      <c r="K194" s="6">
        <v>34.330002</v>
      </c>
      <c r="L194" s="6">
        <v>32.488205000000001</v>
      </c>
      <c r="M194" s="6">
        <f t="shared" si="43"/>
        <v>1.0014586840481907</v>
      </c>
      <c r="N194" s="6">
        <f t="shared" si="36"/>
        <v>1.6517224442721978</v>
      </c>
      <c r="O194" s="6">
        <f t="shared" si="30"/>
        <v>1.4586840481907171E-3</v>
      </c>
      <c r="P194" s="7">
        <f>0.5*R194</f>
        <v>2.2152499884772379</v>
      </c>
      <c r="R194" s="6">
        <f t="shared" si="31"/>
        <v>4.4304999769544757</v>
      </c>
      <c r="S194" s="6">
        <f t="shared" si="44"/>
        <v>6.7384867975508467E-3</v>
      </c>
      <c r="U194" s="6">
        <f>F194/R194</f>
        <v>0.62719276540712421</v>
      </c>
      <c r="V194" s="6">
        <f>N194/R194</f>
        <v>0.37280723459287574</v>
      </c>
      <c r="W194" s="7">
        <v>0.5</v>
      </c>
      <c r="X194" s="7">
        <v>0.5</v>
      </c>
      <c r="Y194" s="6">
        <f t="shared" si="37"/>
        <v>6.7384867975506689E-3</v>
      </c>
      <c r="Z194" s="6">
        <f t="shared" si="38"/>
        <v>1.7780915628762273E-16</v>
      </c>
      <c r="AB194" s="6">
        <f t="shared" si="39"/>
        <v>9.8545812490617481E-3</v>
      </c>
      <c r="AC194" s="6">
        <f t="shared" si="40"/>
        <v>1.4576212020600849E-3</v>
      </c>
      <c r="AD194" s="6">
        <f t="shared" si="41"/>
        <v>6.7158846746490425E-3</v>
      </c>
    </row>
    <row r="195" spans="1:30" s="6" customFormat="1" x14ac:dyDescent="0.3">
      <c r="A195" s="5">
        <v>44105</v>
      </c>
      <c r="B195" s="6">
        <v>477</v>
      </c>
      <c r="C195" s="6">
        <v>482.98998999999998</v>
      </c>
      <c r="D195" s="6">
        <v>482.98998999999998</v>
      </c>
      <c r="E195" s="6">
        <f t="shared" si="42"/>
        <v>1.0273978545680114</v>
      </c>
      <c r="F195" s="7">
        <f>H194*E195</f>
        <v>2.275943085493326</v>
      </c>
      <c r="G195" s="6">
        <f t="shared" si="35"/>
        <v>2.7397854568011359E-2</v>
      </c>
      <c r="J195" s="6">
        <v>33.790000999999997</v>
      </c>
      <c r="K195" s="6">
        <v>33.130001</v>
      </c>
      <c r="L195" s="6">
        <v>31.352582999999999</v>
      </c>
      <c r="M195" s="6">
        <f t="shared" si="43"/>
        <v>0.96504509867504218</v>
      </c>
      <c r="N195" s="7">
        <f>P194*M195</f>
        <v>2.1378161437199021</v>
      </c>
      <c r="O195" s="6">
        <f t="shared" si="30"/>
        <v>-3.4954901324957821E-2</v>
      </c>
      <c r="R195" s="6">
        <f t="shared" si="31"/>
        <v>4.4137592292132286</v>
      </c>
      <c r="S195" s="6">
        <f t="shared" si="44"/>
        <v>-3.7785233784731753E-3</v>
      </c>
      <c r="W195" s="6">
        <f t="shared" si="32"/>
        <v>0.51564731271012776</v>
      </c>
      <c r="X195" s="6">
        <f t="shared" si="33"/>
        <v>0.48435268728987219</v>
      </c>
      <c r="Y195" s="7">
        <f t="shared" si="37"/>
        <v>-3.7785233784732308E-3</v>
      </c>
      <c r="Z195" s="6">
        <f t="shared" si="38"/>
        <v>5.5511151231257827E-17</v>
      </c>
      <c r="AB195" s="6">
        <f t="shared" si="39"/>
        <v>2.7029250833949733E-2</v>
      </c>
      <c r="AC195" s="6">
        <f t="shared" si="40"/>
        <v>-3.5580444356886107E-2</v>
      </c>
      <c r="AD195" s="6">
        <f t="shared" si="41"/>
        <v>-3.7856800313421082E-3</v>
      </c>
    </row>
    <row r="196" spans="1:30" x14ac:dyDescent="0.3">
      <c r="A196" s="1">
        <v>44106</v>
      </c>
      <c r="B196">
        <v>485.00500499999998</v>
      </c>
      <c r="C196">
        <v>482.23001099999999</v>
      </c>
      <c r="D196">
        <v>482.23001099999999</v>
      </c>
      <c r="E196">
        <f t="shared" si="42"/>
        <v>0.99842651190348686</v>
      </c>
      <c r="F196">
        <f t="shared" si="34"/>
        <v>2.2723619161399609</v>
      </c>
      <c r="G196">
        <f t="shared" si="35"/>
        <v>-1.5734880965131426E-3</v>
      </c>
      <c r="J196">
        <v>32.25</v>
      </c>
      <c r="K196">
        <v>32.979999999999997</v>
      </c>
      <c r="L196">
        <v>31.210629999999998</v>
      </c>
      <c r="M196">
        <f t="shared" si="43"/>
        <v>0.9954723666627403</v>
      </c>
      <c r="N196">
        <f t="shared" si="36"/>
        <v>2.1281368960786637</v>
      </c>
      <c r="O196">
        <f t="shared" si="30"/>
        <v>-4.5276333372596955E-3</v>
      </c>
      <c r="R196">
        <f t="shared" si="31"/>
        <v>4.4004988122186246</v>
      </c>
      <c r="S196">
        <f t="shared" si="44"/>
        <v>-3.0043362825135089E-3</v>
      </c>
      <c r="W196">
        <f t="shared" si="32"/>
        <v>0.5163873490501617</v>
      </c>
      <c r="X196">
        <f t="shared" si="33"/>
        <v>0.4836126509498383</v>
      </c>
      <c r="Y196">
        <f t="shared" si="37"/>
        <v>-3.0043362825133216E-3</v>
      </c>
      <c r="Z196">
        <f t="shared" si="38"/>
        <v>1.8735013540549517E-16</v>
      </c>
      <c r="AB196">
        <f t="shared" si="39"/>
        <v>-1.5747273290237435E-3</v>
      </c>
      <c r="AC196">
        <f t="shared" si="40"/>
        <v>-4.5379141125353184E-3</v>
      </c>
      <c r="AD196">
        <f t="shared" si="41"/>
        <v>-3.008858360262111E-3</v>
      </c>
    </row>
    <row r="197" spans="1:30" x14ac:dyDescent="0.3">
      <c r="A197" s="1">
        <v>44109</v>
      </c>
      <c r="B197">
        <v>493.97000100000002</v>
      </c>
      <c r="C197">
        <v>485.36999500000002</v>
      </c>
      <c r="D197">
        <v>485.36999500000002</v>
      </c>
      <c r="E197">
        <f t="shared" si="42"/>
        <v>1.0065113823867757</v>
      </c>
      <c r="F197">
        <f t="shared" si="34"/>
        <v>2.2871581334970945</v>
      </c>
      <c r="G197">
        <f t="shared" si="35"/>
        <v>6.5113823867757326E-3</v>
      </c>
      <c r="J197">
        <v>33.32</v>
      </c>
      <c r="K197">
        <v>33.740001999999997</v>
      </c>
      <c r="L197">
        <v>31.929859</v>
      </c>
      <c r="M197">
        <f t="shared" si="43"/>
        <v>1.0230443602067629</v>
      </c>
      <c r="N197">
        <f t="shared" si="36"/>
        <v>2.177178449281203</v>
      </c>
      <c r="O197">
        <f t="shared" si="30"/>
        <v>2.3044360206762926E-2</v>
      </c>
      <c r="R197">
        <f t="shared" si="31"/>
        <v>4.4643365827782979</v>
      </c>
      <c r="S197">
        <f t="shared" si="44"/>
        <v>1.4506939618394776E-2</v>
      </c>
      <c r="W197">
        <f t="shared" si="32"/>
        <v>0.51231758427894425</v>
      </c>
      <c r="X197">
        <f t="shared" si="33"/>
        <v>0.4876824157210557</v>
      </c>
      <c r="Y197">
        <f t="shared" si="37"/>
        <v>1.4506939618394617E-2</v>
      </c>
      <c r="Z197">
        <f t="shared" si="38"/>
        <v>1.5959455978986625E-16</v>
      </c>
      <c r="AB197">
        <f t="shared" si="39"/>
        <v>6.4902749128260629E-3</v>
      </c>
      <c r="AC197">
        <f t="shared" si="40"/>
        <v>2.2782848890308578E-2</v>
      </c>
      <c r="AD197">
        <f t="shared" si="41"/>
        <v>1.4402720692465639E-2</v>
      </c>
    </row>
    <row r="198" spans="1:30" x14ac:dyDescent="0.3">
      <c r="A198" s="1">
        <v>44110</v>
      </c>
      <c r="B198">
        <v>480.51001000000002</v>
      </c>
      <c r="C198">
        <v>478.25</v>
      </c>
      <c r="D198">
        <v>478.25</v>
      </c>
      <c r="E198">
        <f t="shared" si="42"/>
        <v>0.9853307887315943</v>
      </c>
      <c r="F198">
        <f t="shared" si="34"/>
        <v>2.2536073276325732</v>
      </c>
      <c r="G198">
        <f t="shared" si="35"/>
        <v>-1.4669211268405702E-2</v>
      </c>
      <c r="J198">
        <v>34.119999</v>
      </c>
      <c r="K198">
        <v>33.389999000000003</v>
      </c>
      <c r="L198">
        <v>31.598633</v>
      </c>
      <c r="M198">
        <f t="shared" si="43"/>
        <v>0.98962644965015345</v>
      </c>
      <c r="N198">
        <f t="shared" si="36"/>
        <v>2.1545933790169838</v>
      </c>
      <c r="O198">
        <f t="shared" ref="O198:O257" si="45">M198-1</f>
        <v>-1.037355034984655E-2</v>
      </c>
      <c r="R198">
        <f t="shared" ref="R198:R257" si="46">F198+N198</f>
        <v>4.4082007066495574</v>
      </c>
      <c r="S198">
        <f t="shared" si="44"/>
        <v>-1.257429297452417E-2</v>
      </c>
      <c r="W198">
        <f t="shared" ref="W198:W215" si="47">F198/R198</f>
        <v>0.51123065341219964</v>
      </c>
      <c r="X198">
        <f t="shared" ref="X198:X215" si="48">N198/R198</f>
        <v>0.4887693465878003</v>
      </c>
      <c r="Y198">
        <f t="shared" si="37"/>
        <v>-1.2574292974524245E-2</v>
      </c>
      <c r="Z198">
        <f t="shared" si="38"/>
        <v>7.4593109467002705E-17</v>
      </c>
      <c r="AB198">
        <f t="shared" si="39"/>
        <v>-1.4777868063573224E-2</v>
      </c>
      <c r="AC198">
        <f t="shared" si="40"/>
        <v>-1.0427730643661167E-2</v>
      </c>
      <c r="AD198">
        <f t="shared" si="41"/>
        <v>-1.2654018428956909E-2</v>
      </c>
    </row>
    <row r="199" spans="1:30" x14ac:dyDescent="0.3">
      <c r="A199" s="1">
        <v>44111</v>
      </c>
      <c r="B199">
        <v>482.5</v>
      </c>
      <c r="C199">
        <v>480.60998499999999</v>
      </c>
      <c r="D199">
        <v>480.60998499999999</v>
      </c>
      <c r="E199">
        <f t="shared" si="42"/>
        <v>1.0049346262415055</v>
      </c>
      <c r="F199">
        <f t="shared" ref="F199:F257" si="49">F198*E199</f>
        <v>2.264728037489558</v>
      </c>
      <c r="G199">
        <f t="shared" ref="G199:G257" si="50">E199-1</f>
        <v>4.9346262415055353E-3</v>
      </c>
      <c r="J199">
        <v>33.639999000000003</v>
      </c>
      <c r="K199">
        <v>33.5</v>
      </c>
      <c r="L199">
        <v>31.702732000000001</v>
      </c>
      <c r="M199">
        <f t="shared" si="43"/>
        <v>1.0032944146666092</v>
      </c>
      <c r="N199">
        <f t="shared" ref="N199:N257" si="51">N198*M199</f>
        <v>2.1616915030453963</v>
      </c>
      <c r="O199">
        <f t="shared" si="45"/>
        <v>3.29441466660918E-3</v>
      </c>
      <c r="R199">
        <f t="shared" si="46"/>
        <v>4.4264195405349547</v>
      </c>
      <c r="S199">
        <f t="shared" si="44"/>
        <v>4.132941101777643E-3</v>
      </c>
      <c r="W199">
        <f t="shared" si="47"/>
        <v>0.5116388125324095</v>
      </c>
      <c r="X199">
        <f t="shared" si="48"/>
        <v>0.48836118746759039</v>
      </c>
      <c r="Y199">
        <f t="shared" ref="Y199:Y257" si="52">W198*G199+X198*O199</f>
        <v>4.1329411017776967E-3</v>
      </c>
      <c r="Z199">
        <f t="shared" ref="Z199:Z256" si="53">ABS(Y199-S199)</f>
        <v>5.377642775528102E-17</v>
      </c>
      <c r="AB199">
        <f t="shared" ref="AB199:AB257" si="54">LN(1+G199)</f>
        <v>4.9224908793777207E-3</v>
      </c>
      <c r="AC199">
        <f t="shared" ref="AC199:AC257" si="55">LN(1+O199)</f>
        <v>3.2889999715195874E-3</v>
      </c>
      <c r="AD199">
        <f t="shared" ref="AD199:AD257" si="56">LN(1+S199)</f>
        <v>4.1244239598682174E-3</v>
      </c>
    </row>
    <row r="200" spans="1:30" x14ac:dyDescent="0.3">
      <c r="A200" s="1">
        <v>44112</v>
      </c>
      <c r="B200">
        <v>484</v>
      </c>
      <c r="C200">
        <v>478.54998799999998</v>
      </c>
      <c r="D200">
        <v>478.54998799999998</v>
      </c>
      <c r="E200">
        <f t="shared" ref="E200:E257" si="57">D200/D199</f>
        <v>0.99571378651236297</v>
      </c>
      <c r="F200">
        <f t="shared" si="49"/>
        <v>2.2550209296294406</v>
      </c>
      <c r="G200">
        <f t="shared" si="50"/>
        <v>-4.286213487637025E-3</v>
      </c>
      <c r="J200">
        <v>33.880001</v>
      </c>
      <c r="K200">
        <v>35.259998000000003</v>
      </c>
      <c r="L200">
        <v>33.368309000000004</v>
      </c>
      <c r="M200">
        <f t="shared" ref="M200:M257" si="58">L200/L199</f>
        <v>1.052537333375559</v>
      </c>
      <c r="N200">
        <f t="shared" si="51"/>
        <v>2.2752610101960054</v>
      </c>
      <c r="O200">
        <f t="shared" si="45"/>
        <v>5.2537333375558992E-2</v>
      </c>
      <c r="R200">
        <f t="shared" si="46"/>
        <v>4.5302819398254464</v>
      </c>
      <c r="S200">
        <f t="shared" ref="S200:S257" si="59">(R200/R199)-1</f>
        <v>2.3464201334593593E-2</v>
      </c>
      <c r="W200">
        <f t="shared" si="47"/>
        <v>0.49776613455460289</v>
      </c>
      <c r="X200">
        <f t="shared" si="48"/>
        <v>0.50223386544539705</v>
      </c>
      <c r="Y200">
        <f t="shared" si="52"/>
        <v>2.3464201334593652E-2</v>
      </c>
      <c r="Z200">
        <f t="shared" si="53"/>
        <v>5.8980598183211441E-17</v>
      </c>
      <c r="AB200">
        <f t="shared" si="54"/>
        <v>-4.2954256335744961E-3</v>
      </c>
      <c r="AC200">
        <f t="shared" si="55"/>
        <v>5.1203757085987026E-2</v>
      </c>
      <c r="AD200">
        <f t="shared" si="56"/>
        <v>2.3193148794848767E-2</v>
      </c>
    </row>
    <row r="201" spans="1:30" x14ac:dyDescent="0.3">
      <c r="A201" s="1">
        <v>44113</v>
      </c>
      <c r="B201">
        <v>487.98998999999998</v>
      </c>
      <c r="C201">
        <v>492.41000400000001</v>
      </c>
      <c r="D201">
        <v>492.41000400000001</v>
      </c>
      <c r="E201">
        <f t="shared" si="57"/>
        <v>1.0289625250183896</v>
      </c>
      <c r="F201">
        <f t="shared" si="49"/>
        <v>2.3203320297208254</v>
      </c>
      <c r="G201">
        <f t="shared" si="50"/>
        <v>2.8962525018389584E-2</v>
      </c>
      <c r="J201">
        <v>35.68</v>
      </c>
      <c r="K201">
        <v>34.740001999999997</v>
      </c>
      <c r="L201">
        <v>32.876209000000003</v>
      </c>
      <c r="M201">
        <f t="shared" si="58"/>
        <v>0.98525247413646277</v>
      </c>
      <c r="N201">
        <f t="shared" si="51"/>
        <v>2.2417065396018421</v>
      </c>
      <c r="O201">
        <f t="shared" si="45"/>
        <v>-1.4747525863537225E-2</v>
      </c>
      <c r="R201">
        <f t="shared" si="46"/>
        <v>4.5620385693226675</v>
      </c>
      <c r="S201">
        <f t="shared" si="59"/>
        <v>7.0098572051444652E-3</v>
      </c>
      <c r="W201">
        <f t="shared" si="47"/>
        <v>0.50861736358913079</v>
      </c>
      <c r="X201">
        <f t="shared" si="48"/>
        <v>0.49138263641086916</v>
      </c>
      <c r="Y201">
        <f t="shared" si="52"/>
        <v>7.0098572051444947E-3</v>
      </c>
      <c r="Z201">
        <f t="shared" si="53"/>
        <v>2.9490299091605721E-17</v>
      </c>
      <c r="AB201">
        <f t="shared" si="54"/>
        <v>2.8551037353346395E-2</v>
      </c>
      <c r="AC201">
        <f t="shared" si="55"/>
        <v>-1.4857351733863584E-2</v>
      </c>
      <c r="AD201">
        <f t="shared" si="56"/>
        <v>6.9854023728703717E-3</v>
      </c>
    </row>
    <row r="202" spans="1:30" x14ac:dyDescent="0.3">
      <c r="A202" s="1">
        <v>44116</v>
      </c>
      <c r="B202">
        <v>501.42999300000002</v>
      </c>
      <c r="C202">
        <v>491.540009</v>
      </c>
      <c r="D202">
        <v>491.540009</v>
      </c>
      <c r="E202">
        <f t="shared" si="57"/>
        <v>0.99823318983584253</v>
      </c>
      <c r="F202">
        <f t="shared" si="49"/>
        <v>2.3162324435064945</v>
      </c>
      <c r="G202">
        <f t="shared" si="50"/>
        <v>-1.7668101641574729E-3</v>
      </c>
      <c r="J202">
        <v>34.540000999999997</v>
      </c>
      <c r="K202">
        <v>34.630001</v>
      </c>
      <c r="L202">
        <v>32.772109999999998</v>
      </c>
      <c r="M202">
        <f t="shared" si="58"/>
        <v>0.99683360694050815</v>
      </c>
      <c r="N202">
        <f t="shared" si="51"/>
        <v>2.2346084155734292</v>
      </c>
      <c r="O202">
        <f t="shared" si="45"/>
        <v>-3.1663930594918455E-3</v>
      </c>
      <c r="R202">
        <f t="shared" si="46"/>
        <v>4.5508408590799236</v>
      </c>
      <c r="S202">
        <f t="shared" si="59"/>
        <v>-2.4545408971424765E-3</v>
      </c>
      <c r="W202">
        <f t="shared" si="47"/>
        <v>0.50896801607226139</v>
      </c>
      <c r="X202">
        <f t="shared" si="48"/>
        <v>0.49103198392773861</v>
      </c>
      <c r="Y202">
        <f t="shared" si="52"/>
        <v>-2.4545408971424344E-3</v>
      </c>
      <c r="Z202">
        <f t="shared" si="53"/>
        <v>4.2067044292437572E-17</v>
      </c>
      <c r="AB202">
        <f t="shared" si="54"/>
        <v>-1.7683728141106936E-3</v>
      </c>
      <c r="AC202">
        <f t="shared" si="55"/>
        <v>-3.171416689322774E-3</v>
      </c>
      <c r="AD202">
        <f t="shared" si="56"/>
        <v>-2.4575582210916223E-3</v>
      </c>
    </row>
    <row r="203" spans="1:30" x14ac:dyDescent="0.3">
      <c r="A203" s="1">
        <v>44117</v>
      </c>
      <c r="B203">
        <v>494</v>
      </c>
      <c r="C203">
        <v>518.78997800000002</v>
      </c>
      <c r="D203">
        <v>518.78997800000002</v>
      </c>
      <c r="E203">
        <f t="shared" si="57"/>
        <v>1.0554379470664819</v>
      </c>
      <c r="F203">
        <f t="shared" si="49"/>
        <v>2.4446396151032754</v>
      </c>
      <c r="G203">
        <f t="shared" si="50"/>
        <v>5.5437947066481863E-2</v>
      </c>
      <c r="J203">
        <v>34.729999999999997</v>
      </c>
      <c r="K203">
        <v>34.220001000000003</v>
      </c>
      <c r="L203">
        <v>32.384106000000003</v>
      </c>
      <c r="M203">
        <f t="shared" si="58"/>
        <v>0.98816054260772357</v>
      </c>
      <c r="N203">
        <f t="shared" si="51"/>
        <v>2.2081518644488254</v>
      </c>
      <c r="O203">
        <f t="shared" si="45"/>
        <v>-1.1839457392276431E-2</v>
      </c>
      <c r="R203">
        <f t="shared" si="46"/>
        <v>4.6527914795521008</v>
      </c>
      <c r="S203">
        <f t="shared" si="59"/>
        <v>2.2402589681588925E-2</v>
      </c>
      <c r="W203">
        <f t="shared" si="47"/>
        <v>0.52541353418627901</v>
      </c>
      <c r="X203">
        <f t="shared" si="48"/>
        <v>0.47458646581372099</v>
      </c>
      <c r="Y203">
        <f t="shared" si="52"/>
        <v>2.240258968158889E-2</v>
      </c>
      <c r="Z203">
        <f t="shared" si="53"/>
        <v>3.4694469519536142E-17</v>
      </c>
      <c r="AB203">
        <f t="shared" si="54"/>
        <v>5.395579649416983E-2</v>
      </c>
      <c r="AC203">
        <f t="shared" si="55"/>
        <v>-1.1910101916809629E-2</v>
      </c>
      <c r="AD203">
        <f t="shared" si="56"/>
        <v>2.2155337581576548E-2</v>
      </c>
    </row>
    <row r="204" spans="1:30" x14ac:dyDescent="0.3">
      <c r="A204" s="1">
        <v>44118</v>
      </c>
      <c r="B204">
        <v>518.78002900000001</v>
      </c>
      <c r="C204">
        <v>509.25</v>
      </c>
      <c r="D204">
        <v>509.25</v>
      </c>
      <c r="E204">
        <f t="shared" si="57"/>
        <v>0.98161109812341052</v>
      </c>
      <c r="F204">
        <f t="shared" si="49"/>
        <v>2.3996853770975179</v>
      </c>
      <c r="G204">
        <f t="shared" si="50"/>
        <v>-1.8388901876589481E-2</v>
      </c>
      <c r="J204">
        <v>34.060001</v>
      </c>
      <c r="K204">
        <v>34.150002000000001</v>
      </c>
      <c r="L204">
        <v>32.317860000000003</v>
      </c>
      <c r="M204">
        <f t="shared" si="58"/>
        <v>0.99795436687367567</v>
      </c>
      <c r="N204">
        <f t="shared" si="51"/>
        <v>2.2036347958469542</v>
      </c>
      <c r="O204">
        <f t="shared" si="45"/>
        <v>-2.045633126324331E-3</v>
      </c>
      <c r="R204">
        <f t="shared" si="46"/>
        <v>4.6033201729444722</v>
      </c>
      <c r="S204">
        <f t="shared" si="59"/>
        <v>-1.0632607720557297E-2</v>
      </c>
      <c r="W204">
        <f t="shared" si="47"/>
        <v>0.5212944759309629</v>
      </c>
      <c r="X204">
        <f t="shared" si="48"/>
        <v>0.47870552406903716</v>
      </c>
      <c r="Y204">
        <f t="shared" si="52"/>
        <v>-1.0632607720557316E-2</v>
      </c>
      <c r="Z204">
        <f t="shared" si="53"/>
        <v>1.9081958235744878E-17</v>
      </c>
      <c r="AB204">
        <f t="shared" si="54"/>
        <v>-1.8560079492655795E-2</v>
      </c>
      <c r="AC204">
        <f t="shared" si="55"/>
        <v>-2.0477282915486272E-3</v>
      </c>
      <c r="AD204">
        <f t="shared" si="56"/>
        <v>-1.0689537797075925E-2</v>
      </c>
    </row>
    <row r="205" spans="1:30" x14ac:dyDescent="0.3">
      <c r="A205" s="1">
        <v>44119</v>
      </c>
      <c r="B205">
        <v>509.07998700000002</v>
      </c>
      <c r="C205">
        <v>536.40002400000003</v>
      </c>
      <c r="D205">
        <v>536.40002400000003</v>
      </c>
      <c r="E205">
        <f t="shared" si="57"/>
        <v>1.0533137437407953</v>
      </c>
      <c r="F205">
        <f t="shared" si="49"/>
        <v>2.527621588350629</v>
      </c>
      <c r="G205">
        <f t="shared" si="50"/>
        <v>5.3313743740795339E-2</v>
      </c>
      <c r="J205">
        <v>33.700001</v>
      </c>
      <c r="K205">
        <v>34.450001</v>
      </c>
      <c r="L205">
        <v>32.601768</v>
      </c>
      <c r="M205">
        <f t="shared" si="58"/>
        <v>1.0087848638492771</v>
      </c>
      <c r="N205">
        <f t="shared" si="51"/>
        <v>2.2229934275019994</v>
      </c>
      <c r="O205">
        <f t="shared" si="45"/>
        <v>8.7848638492771247E-3</v>
      </c>
      <c r="R205">
        <f t="shared" si="46"/>
        <v>4.7506150158526284</v>
      </c>
      <c r="S205">
        <f t="shared" si="59"/>
        <v>3.1997522956118907E-2</v>
      </c>
      <c r="W205">
        <f t="shared" si="47"/>
        <v>0.53206197090609286</v>
      </c>
      <c r="X205">
        <f t="shared" si="48"/>
        <v>0.46793802909390714</v>
      </c>
      <c r="Y205">
        <f t="shared" si="52"/>
        <v>3.1997522956118907E-2</v>
      </c>
      <c r="Z205">
        <f t="shared" si="53"/>
        <v>0</v>
      </c>
      <c r="AB205">
        <f t="shared" si="54"/>
        <v>5.1941141043336615E-2</v>
      </c>
      <c r="AC205">
        <f t="shared" si="55"/>
        <v>8.746501441494756E-3</v>
      </c>
      <c r="AD205">
        <f t="shared" si="56"/>
        <v>3.149626682017153E-2</v>
      </c>
    </row>
    <row r="206" spans="1:30" x14ac:dyDescent="0.3">
      <c r="A206" s="1">
        <v>44120</v>
      </c>
      <c r="B206">
        <v>544</v>
      </c>
      <c r="C206">
        <v>559</v>
      </c>
      <c r="D206">
        <v>559</v>
      </c>
      <c r="E206">
        <f t="shared" si="57"/>
        <v>1.0421326901357484</v>
      </c>
      <c r="F206">
        <f t="shared" si="49"/>
        <v>2.6341170855130343</v>
      </c>
      <c r="G206">
        <f t="shared" si="50"/>
        <v>4.2132690135748385E-2</v>
      </c>
      <c r="J206">
        <v>34.369999</v>
      </c>
      <c r="K206">
        <v>34.099997999999999</v>
      </c>
      <c r="L206">
        <v>32.270541999999999</v>
      </c>
      <c r="M206">
        <f t="shared" si="58"/>
        <v>0.98984024424687644</v>
      </c>
      <c r="N206">
        <f t="shared" si="51"/>
        <v>2.2004083572377802</v>
      </c>
      <c r="O206">
        <f t="shared" si="45"/>
        <v>-1.0159755753123556E-2</v>
      </c>
      <c r="R206">
        <f t="shared" si="46"/>
        <v>4.8345254427508149</v>
      </c>
      <c r="S206">
        <f t="shared" si="59"/>
        <v>1.7663066070009892E-2</v>
      </c>
      <c r="W206">
        <f t="shared" si="47"/>
        <v>0.54485535689191411</v>
      </c>
      <c r="X206">
        <f t="shared" si="48"/>
        <v>0.45514464310808583</v>
      </c>
      <c r="Y206">
        <f t="shared" si="52"/>
        <v>1.7663066070009864E-2</v>
      </c>
      <c r="Z206">
        <f t="shared" si="53"/>
        <v>2.7755575615628914E-17</v>
      </c>
      <c r="AB206">
        <f t="shared" si="54"/>
        <v>4.1269277004847393E-2</v>
      </c>
      <c r="AC206">
        <f t="shared" si="55"/>
        <v>-1.0211718322551164E-2</v>
      </c>
      <c r="AD206">
        <f t="shared" si="56"/>
        <v>1.7508886987978884E-2</v>
      </c>
    </row>
    <row r="207" spans="1:30" x14ac:dyDescent="0.3">
      <c r="A207" s="1">
        <v>44123</v>
      </c>
      <c r="B207">
        <v>572.5</v>
      </c>
      <c r="C207">
        <v>568.34002699999996</v>
      </c>
      <c r="D207">
        <v>568.34002699999996</v>
      </c>
      <c r="E207">
        <f t="shared" si="57"/>
        <v>1.0167084561717352</v>
      </c>
      <c r="F207">
        <f t="shared" si="49"/>
        <v>2.6781291153875477</v>
      </c>
      <c r="G207">
        <f t="shared" si="50"/>
        <v>1.670845617173522E-2</v>
      </c>
      <c r="J207">
        <v>34.099997999999999</v>
      </c>
      <c r="K207">
        <v>33.419998</v>
      </c>
      <c r="L207">
        <v>31.627023999999999</v>
      </c>
      <c r="M207">
        <f t="shared" si="58"/>
        <v>0.98005865535199255</v>
      </c>
      <c r="N207">
        <f t="shared" si="51"/>
        <v>2.1565292558197457</v>
      </c>
      <c r="O207">
        <f t="shared" si="45"/>
        <v>-1.9941344648007453E-2</v>
      </c>
      <c r="R207">
        <f t="shared" si="46"/>
        <v>4.8346583712072935</v>
      </c>
      <c r="S207">
        <f t="shared" si="59"/>
        <v>2.7495657650922212E-5</v>
      </c>
      <c r="W207">
        <f t="shared" si="47"/>
        <v>0.55394381769290868</v>
      </c>
      <c r="X207">
        <f t="shared" si="48"/>
        <v>0.44605618230709132</v>
      </c>
      <c r="Y207">
        <f t="shared" si="52"/>
        <v>2.7495657651008948E-5</v>
      </c>
      <c r="Z207">
        <f t="shared" si="53"/>
        <v>8.6736173798840355E-17</v>
      </c>
      <c r="AB207">
        <f t="shared" si="54"/>
        <v>1.6570405537661551E-2</v>
      </c>
      <c r="AC207">
        <f t="shared" si="55"/>
        <v>-2.014285670861048E-2</v>
      </c>
      <c r="AD207">
        <f t="shared" si="56"/>
        <v>2.7495279652256247E-5</v>
      </c>
    </row>
    <row r="208" spans="1:30" x14ac:dyDescent="0.3">
      <c r="A208" s="1">
        <v>44124</v>
      </c>
      <c r="B208">
        <v>572.330017</v>
      </c>
      <c r="C208">
        <v>537.02002000000005</v>
      </c>
      <c r="D208">
        <v>537.02002000000005</v>
      </c>
      <c r="E208">
        <f t="shared" si="57"/>
        <v>0.94489213232908564</v>
      </c>
      <c r="F208">
        <f t="shared" si="49"/>
        <v>2.5305431304911479</v>
      </c>
      <c r="G208">
        <f t="shared" si="50"/>
        <v>-5.5107867670914357E-2</v>
      </c>
      <c r="J208">
        <v>33.659999999999997</v>
      </c>
      <c r="K208">
        <v>33.700001</v>
      </c>
      <c r="L208">
        <v>31.892004</v>
      </c>
      <c r="M208">
        <f t="shared" si="58"/>
        <v>1.0083782780194559</v>
      </c>
      <c r="N208">
        <f t="shared" si="51"/>
        <v>2.1745972574820938</v>
      </c>
      <c r="O208">
        <f t="shared" si="45"/>
        <v>8.3782780194558981E-3</v>
      </c>
      <c r="R208">
        <f t="shared" si="46"/>
        <v>4.7051403879732412</v>
      </c>
      <c r="S208">
        <f t="shared" si="59"/>
        <v>-2.6789479894876123E-2</v>
      </c>
      <c r="W208">
        <f t="shared" si="47"/>
        <v>0.53782521281606011</v>
      </c>
      <c r="X208">
        <f t="shared" si="48"/>
        <v>0.46217478718394001</v>
      </c>
      <c r="Y208">
        <f t="shared" si="52"/>
        <v>-2.6789479894876001E-2</v>
      </c>
      <c r="Z208">
        <f t="shared" si="53"/>
        <v>1.214306433183765E-16</v>
      </c>
      <c r="AB208">
        <f t="shared" si="54"/>
        <v>-5.6684503687015872E-2</v>
      </c>
      <c r="AC208">
        <f t="shared" si="55"/>
        <v>8.343375063773242E-3</v>
      </c>
      <c r="AD208">
        <f t="shared" si="56"/>
        <v>-2.7154858323217377E-2</v>
      </c>
    </row>
    <row r="209" spans="1:30" x14ac:dyDescent="0.3">
      <c r="A209" s="1">
        <v>44125</v>
      </c>
      <c r="B209">
        <v>535.88000499999998</v>
      </c>
      <c r="C209">
        <v>513.19000200000005</v>
      </c>
      <c r="D209">
        <v>513.19000200000005</v>
      </c>
      <c r="E209">
        <f t="shared" si="57"/>
        <v>0.95562545694292744</v>
      </c>
      <c r="F209">
        <f t="shared" si="49"/>
        <v>2.4182514353893891</v>
      </c>
      <c r="G209">
        <f t="shared" si="50"/>
        <v>-4.4374543057072557E-2</v>
      </c>
      <c r="J209">
        <v>33.509998000000003</v>
      </c>
      <c r="K209">
        <v>33.159999999999997</v>
      </c>
      <c r="L209">
        <v>31.380972</v>
      </c>
      <c r="M209">
        <f t="shared" si="58"/>
        <v>0.98397617158206807</v>
      </c>
      <c r="N209">
        <f t="shared" si="51"/>
        <v>2.1397518841500953</v>
      </c>
      <c r="O209">
        <f t="shared" si="45"/>
        <v>-1.6023828417931929E-2</v>
      </c>
      <c r="R209">
        <f t="shared" si="46"/>
        <v>4.558003319539484</v>
      </c>
      <c r="S209">
        <f t="shared" si="59"/>
        <v>-3.1271557552215112E-2</v>
      </c>
      <c r="W209">
        <f t="shared" si="47"/>
        <v>0.53055060864539172</v>
      </c>
      <c r="X209">
        <f t="shared" si="48"/>
        <v>0.46944939135460839</v>
      </c>
      <c r="Y209">
        <f t="shared" si="52"/>
        <v>-3.1271557552215126E-2</v>
      </c>
      <c r="Z209">
        <f t="shared" si="53"/>
        <v>1.3877787807814457E-17</v>
      </c>
      <c r="AB209">
        <f t="shared" si="54"/>
        <v>-4.5389224137587864E-2</v>
      </c>
      <c r="AC209">
        <f t="shared" si="55"/>
        <v>-1.6153598094974631E-2</v>
      </c>
      <c r="AD209">
        <f t="shared" si="56"/>
        <v>-3.1770951519306305E-2</v>
      </c>
    </row>
    <row r="210" spans="1:30" x14ac:dyDescent="0.3">
      <c r="A210" s="1">
        <v>44126</v>
      </c>
      <c r="B210">
        <v>521.78002900000001</v>
      </c>
      <c r="C210">
        <v>520.53997800000002</v>
      </c>
      <c r="D210">
        <v>520.53997800000002</v>
      </c>
      <c r="E210">
        <f t="shared" si="57"/>
        <v>1.0143221340465631</v>
      </c>
      <c r="F210">
        <f t="shared" si="49"/>
        <v>2.4528859566053298</v>
      </c>
      <c r="G210">
        <f t="shared" si="50"/>
        <v>1.4322134046563129E-2</v>
      </c>
      <c r="J210">
        <v>33.18</v>
      </c>
      <c r="K210">
        <v>34.860000999999997</v>
      </c>
      <c r="L210">
        <v>32.989769000000003</v>
      </c>
      <c r="M210">
        <f t="shared" si="58"/>
        <v>1.0512666401792781</v>
      </c>
      <c r="N210">
        <f t="shared" si="51"/>
        <v>2.2494497740677506</v>
      </c>
      <c r="O210">
        <f t="shared" si="45"/>
        <v>5.1266640179278067E-2</v>
      </c>
      <c r="R210">
        <f t="shared" si="46"/>
        <v>4.7023357306730809</v>
      </c>
      <c r="S210">
        <f t="shared" si="59"/>
        <v>3.1665709964463051E-2</v>
      </c>
      <c r="W210">
        <f t="shared" si="47"/>
        <v>0.52163139705344475</v>
      </c>
      <c r="X210">
        <f t="shared" si="48"/>
        <v>0.4783686029465552</v>
      </c>
      <c r="Y210">
        <f t="shared" si="52"/>
        <v>3.1665709964462753E-2</v>
      </c>
      <c r="Z210">
        <f t="shared" si="53"/>
        <v>2.9837243786801082E-16</v>
      </c>
      <c r="AB210">
        <f t="shared" si="54"/>
        <v>1.4220541153793178E-2</v>
      </c>
      <c r="AC210">
        <f t="shared" si="55"/>
        <v>4.9995761125549848E-2</v>
      </c>
      <c r="AD210">
        <f t="shared" si="56"/>
        <v>3.1174690131473441E-2</v>
      </c>
    </row>
    <row r="211" spans="1:30" x14ac:dyDescent="0.3">
      <c r="A211" s="1">
        <v>44127</v>
      </c>
      <c r="B211">
        <v>522.330017</v>
      </c>
      <c r="C211">
        <v>511.51998900000001</v>
      </c>
      <c r="D211">
        <v>511.51998900000001</v>
      </c>
      <c r="E211">
        <f t="shared" si="57"/>
        <v>0.98267186118027616</v>
      </c>
      <c r="F211">
        <f t="shared" si="49"/>
        <v>2.4103820082403216</v>
      </c>
      <c r="G211">
        <f t="shared" si="50"/>
        <v>-1.7328138819723837E-2</v>
      </c>
      <c r="J211">
        <v>34.970001000000003</v>
      </c>
      <c r="K211">
        <v>34.159999999999997</v>
      </c>
      <c r="L211">
        <v>32.32732</v>
      </c>
      <c r="M211">
        <f t="shared" si="58"/>
        <v>0.97991956233461341</v>
      </c>
      <c r="N211">
        <f t="shared" si="51"/>
        <v>2.2042798380981652</v>
      </c>
      <c r="O211">
        <f t="shared" si="45"/>
        <v>-2.0080437665386586E-2</v>
      </c>
      <c r="R211">
        <f t="shared" si="46"/>
        <v>4.6146618463384872</v>
      </c>
      <c r="S211">
        <f t="shared" si="59"/>
        <v>-1.8644752173414991E-2</v>
      </c>
      <c r="W211">
        <f t="shared" si="47"/>
        <v>0.52233123216879784</v>
      </c>
      <c r="X211">
        <f t="shared" si="48"/>
        <v>0.4776687678312021</v>
      </c>
      <c r="Y211">
        <f t="shared" si="52"/>
        <v>-1.8644752173414943E-2</v>
      </c>
      <c r="Z211">
        <f t="shared" si="53"/>
        <v>4.8572257327350599E-17</v>
      </c>
      <c r="AB211">
        <f t="shared" si="54"/>
        <v>-1.7480028214954309E-2</v>
      </c>
      <c r="AC211">
        <f t="shared" si="55"/>
        <v>-2.0284789936599931E-2</v>
      </c>
      <c r="AD211">
        <f t="shared" si="56"/>
        <v>-1.8820756705795177E-2</v>
      </c>
    </row>
    <row r="212" spans="1:30" x14ac:dyDescent="0.3">
      <c r="A212" s="1">
        <v>44130</v>
      </c>
      <c r="B212">
        <v>520.489014</v>
      </c>
      <c r="C212">
        <v>517.78997800000002</v>
      </c>
      <c r="D212">
        <v>517.78997800000002</v>
      </c>
      <c r="E212">
        <f t="shared" si="57"/>
        <v>1.0122575639952167</v>
      </c>
      <c r="F212">
        <f t="shared" si="49"/>
        <v>2.4399274199592464</v>
      </c>
      <c r="G212">
        <f t="shared" si="50"/>
        <v>1.2257563995216714E-2</v>
      </c>
      <c r="J212">
        <v>33.610000999999997</v>
      </c>
      <c r="K212">
        <v>33.349997999999999</v>
      </c>
      <c r="L212">
        <v>31.560777999999999</v>
      </c>
      <c r="M212">
        <f t="shared" si="58"/>
        <v>0.97628810554045309</v>
      </c>
      <c r="N212">
        <f t="shared" si="51"/>
        <v>2.1520121872178741</v>
      </c>
      <c r="O212">
        <f t="shared" si="45"/>
        <v>-2.3711894459546912E-2</v>
      </c>
      <c r="R212">
        <f t="shared" si="46"/>
        <v>4.591939607177121</v>
      </c>
      <c r="S212">
        <f t="shared" si="59"/>
        <v>-4.9239229044258925E-3</v>
      </c>
      <c r="W212">
        <f t="shared" si="47"/>
        <v>0.53135006744114899</v>
      </c>
      <c r="X212">
        <f t="shared" si="48"/>
        <v>0.4686499325588509</v>
      </c>
      <c r="Y212">
        <f t="shared" si="52"/>
        <v>-4.9239229044258422E-3</v>
      </c>
      <c r="Z212">
        <f t="shared" si="53"/>
        <v>5.0306980803327406E-17</v>
      </c>
      <c r="AB212">
        <f t="shared" si="54"/>
        <v>1.2183048359825758E-2</v>
      </c>
      <c r="AC212">
        <f t="shared" si="55"/>
        <v>-2.3997546026147638E-2</v>
      </c>
      <c r="AD212">
        <f t="shared" si="56"/>
        <v>-4.9360853538778582E-3</v>
      </c>
    </row>
    <row r="213" spans="1:30" x14ac:dyDescent="0.3">
      <c r="A213" s="1">
        <v>44131</v>
      </c>
      <c r="B213">
        <v>525.21997099999999</v>
      </c>
      <c r="C213">
        <v>538.98999000000003</v>
      </c>
      <c r="D213">
        <v>538.98999000000003</v>
      </c>
      <c r="E213">
        <f t="shared" si="57"/>
        <v>1.0409432644522911</v>
      </c>
      <c r="F213">
        <f t="shared" si="49"/>
        <v>2.5398260135590345</v>
      </c>
      <c r="G213">
        <f t="shared" si="50"/>
        <v>4.0943264452291128E-2</v>
      </c>
      <c r="J213">
        <v>33.150002000000001</v>
      </c>
      <c r="K213">
        <v>32.82</v>
      </c>
      <c r="L213">
        <v>31.059214000000001</v>
      </c>
      <c r="M213">
        <f t="shared" si="58"/>
        <v>0.98410799632379153</v>
      </c>
      <c r="N213">
        <f t="shared" si="51"/>
        <v>2.1178124016273623</v>
      </c>
      <c r="O213">
        <f t="shared" si="45"/>
        <v>-1.5892003676208466E-2</v>
      </c>
      <c r="R213">
        <f t="shared" si="46"/>
        <v>4.6576384151863968</v>
      </c>
      <c r="S213">
        <f t="shared" si="59"/>
        <v>1.4307419876905536E-2</v>
      </c>
      <c r="W213">
        <f t="shared" si="47"/>
        <v>0.5453033892192749</v>
      </c>
      <c r="X213">
        <f t="shared" si="48"/>
        <v>0.4546966107807251</v>
      </c>
      <c r="Y213">
        <f t="shared" si="52"/>
        <v>1.4307419876905581E-2</v>
      </c>
      <c r="Z213">
        <f t="shared" si="53"/>
        <v>4.5102810375396984E-17</v>
      </c>
      <c r="AB213">
        <f t="shared" si="54"/>
        <v>4.0127287141153371E-2</v>
      </c>
      <c r="AC213">
        <f t="shared" si="55"/>
        <v>-1.601963559065666E-2</v>
      </c>
      <c r="AD213">
        <f t="shared" si="56"/>
        <v>1.4206034641621557E-2</v>
      </c>
    </row>
    <row r="214" spans="1:30" x14ac:dyDescent="0.3">
      <c r="A214" s="1">
        <v>44132</v>
      </c>
      <c r="B214">
        <v>549.5</v>
      </c>
      <c r="C214">
        <v>516.01000999999997</v>
      </c>
      <c r="D214">
        <v>516.01000999999997</v>
      </c>
      <c r="E214">
        <f t="shared" si="57"/>
        <v>0.95736473695921498</v>
      </c>
      <c r="F214">
        <f t="shared" si="49"/>
        <v>2.4315398633931165</v>
      </c>
      <c r="G214">
        <f t="shared" si="50"/>
        <v>-4.2635263040785021E-2</v>
      </c>
      <c r="J214">
        <v>32.099997999999999</v>
      </c>
      <c r="K214">
        <v>31.57</v>
      </c>
      <c r="L214">
        <v>29.876277999999999</v>
      </c>
      <c r="M214">
        <f t="shared" si="58"/>
        <v>0.96191352427656407</v>
      </c>
      <c r="N214">
        <f t="shared" si="51"/>
        <v>2.0371523910059901</v>
      </c>
      <c r="O214">
        <f t="shared" si="45"/>
        <v>-3.8086475723435931E-2</v>
      </c>
      <c r="R214">
        <f t="shared" si="46"/>
        <v>4.468692254399107</v>
      </c>
      <c r="S214">
        <f t="shared" si="59"/>
        <v>-4.0566944864424026E-2</v>
      </c>
      <c r="W214">
        <f t="shared" si="47"/>
        <v>0.54412783986174929</v>
      </c>
      <c r="X214">
        <f t="shared" si="48"/>
        <v>0.45587216013825066</v>
      </c>
      <c r="Y214">
        <f t="shared" si="52"/>
        <v>-4.056694486442404E-2</v>
      </c>
      <c r="Z214">
        <f t="shared" si="53"/>
        <v>1.3877787807814457E-17</v>
      </c>
      <c r="AB214">
        <f t="shared" si="54"/>
        <v>-4.3570834789768371E-2</v>
      </c>
      <c r="AC214">
        <f t="shared" si="55"/>
        <v>-3.8830723961326225E-2</v>
      </c>
      <c r="AD214">
        <f t="shared" si="56"/>
        <v>-4.1412736541077001E-2</v>
      </c>
    </row>
    <row r="215" spans="1:30" x14ac:dyDescent="0.3">
      <c r="A215" s="1">
        <v>44133</v>
      </c>
      <c r="B215">
        <v>521.19000200000005</v>
      </c>
      <c r="C215">
        <v>489.67999300000002</v>
      </c>
      <c r="D215">
        <v>489.67999300000002</v>
      </c>
      <c r="E215">
        <f t="shared" si="57"/>
        <v>0.94897382513955508</v>
      </c>
      <c r="F215">
        <f t="shared" si="49"/>
        <v>2.307467685143477</v>
      </c>
      <c r="G215">
        <f t="shared" si="50"/>
        <v>-5.1026174860444917E-2</v>
      </c>
      <c r="J215">
        <v>31.41</v>
      </c>
      <c r="K215">
        <v>32.970001000000003</v>
      </c>
      <c r="L215">
        <v>31.201166000000001</v>
      </c>
      <c r="M215">
        <f t="shared" si="58"/>
        <v>1.0443458184449883</v>
      </c>
      <c r="N215">
        <f t="shared" si="51"/>
        <v>2.1274915810823156</v>
      </c>
      <c r="O215">
        <f t="shared" si="45"/>
        <v>4.4345818444988305E-2</v>
      </c>
      <c r="R215">
        <f t="shared" si="46"/>
        <v>4.4349592662257926</v>
      </c>
      <c r="S215">
        <f t="shared" si="59"/>
        <v>-7.5487382556063132E-3</v>
      </c>
      <c r="W215">
        <f t="shared" si="47"/>
        <v>0.52029061522974518</v>
      </c>
      <c r="X215">
        <f t="shared" si="48"/>
        <v>0.47970938477025482</v>
      </c>
      <c r="Y215">
        <f t="shared" si="52"/>
        <v>-7.5487382556062924E-3</v>
      </c>
      <c r="Z215">
        <f t="shared" si="53"/>
        <v>2.0816681711721685E-17</v>
      </c>
      <c r="AB215">
        <f t="shared" si="54"/>
        <v>-5.2374062270441793E-2</v>
      </c>
      <c r="AC215">
        <f t="shared" si="55"/>
        <v>4.3390678332610649E-2</v>
      </c>
      <c r="AD215">
        <f t="shared" si="56"/>
        <v>-7.5773741813249746E-3</v>
      </c>
    </row>
    <row r="216" spans="1:30" s="6" customFormat="1" x14ac:dyDescent="0.3">
      <c r="A216" s="5">
        <v>44134</v>
      </c>
      <c r="B216" s="6">
        <v>481.5</v>
      </c>
      <c r="C216" s="6">
        <v>460.91000400000001</v>
      </c>
      <c r="D216" s="6">
        <v>460.91000400000001</v>
      </c>
      <c r="E216" s="6">
        <f t="shared" si="57"/>
        <v>0.94124736682880972</v>
      </c>
      <c r="F216" s="6">
        <f t="shared" si="49"/>
        <v>2.1718978826838669</v>
      </c>
      <c r="G216" s="6">
        <f t="shared" si="50"/>
        <v>-5.8752633171190283E-2</v>
      </c>
      <c r="H216" s="7">
        <f>0.5*R216</f>
        <v>2.138402264937266</v>
      </c>
      <c r="J216" s="6">
        <v>32.409999999999997</v>
      </c>
      <c r="K216" s="6">
        <v>32.619999</v>
      </c>
      <c r="L216" s="6">
        <v>30.869942000000002</v>
      </c>
      <c r="M216" s="6">
        <f t="shared" si="58"/>
        <v>0.9893842428837436</v>
      </c>
      <c r="N216" s="6">
        <f t="shared" si="51"/>
        <v>2.1049066471906657</v>
      </c>
      <c r="O216" s="6">
        <f t="shared" si="45"/>
        <v>-1.0615757116256397E-2</v>
      </c>
      <c r="P216" s="7">
        <f>0.5*R216</f>
        <v>2.138402264937266</v>
      </c>
      <c r="R216" s="6">
        <f t="shared" si="46"/>
        <v>4.2768045298745321</v>
      </c>
      <c r="S216" s="6">
        <f t="shared" si="59"/>
        <v>-3.5660921974115967E-2</v>
      </c>
      <c r="U216" s="6">
        <f>F216/R216</f>
        <v>0.5078319262693971</v>
      </c>
      <c r="V216" s="6">
        <f>N216/R216</f>
        <v>0.49216807373060301</v>
      </c>
      <c r="W216" s="7">
        <v>0.5</v>
      </c>
      <c r="X216" s="7">
        <v>0.5</v>
      </c>
      <c r="Y216" s="6">
        <f t="shared" si="52"/>
        <v>-3.5660921974115939E-2</v>
      </c>
      <c r="Z216" s="6">
        <f t="shared" si="53"/>
        <v>2.7755575615628914E-17</v>
      </c>
      <c r="AB216" s="6">
        <f t="shared" si="54"/>
        <v>-6.0549297397779769E-2</v>
      </c>
      <c r="AC216" s="6">
        <f t="shared" si="55"/>
        <v>-1.0672506246474157E-2</v>
      </c>
      <c r="AD216" s="6">
        <f t="shared" si="56"/>
        <v>-3.6312305527094996E-2</v>
      </c>
    </row>
    <row r="217" spans="1:30" s="6" customFormat="1" x14ac:dyDescent="0.3">
      <c r="A217" s="5">
        <v>44137</v>
      </c>
      <c r="B217" s="6">
        <v>462.290009</v>
      </c>
      <c r="C217" s="6">
        <v>453</v>
      </c>
      <c r="D217" s="6">
        <v>453</v>
      </c>
      <c r="E217" s="6">
        <f t="shared" si="57"/>
        <v>0.98283828961976705</v>
      </c>
      <c r="F217" s="7">
        <f>H216*E217</f>
        <v>2.1017036245899785</v>
      </c>
      <c r="G217" s="6">
        <f t="shared" si="50"/>
        <v>-1.7161710380232953E-2</v>
      </c>
      <c r="J217" s="6">
        <v>33.139999000000003</v>
      </c>
      <c r="K217" s="6">
        <v>33.990001999999997</v>
      </c>
      <c r="L217" s="6">
        <v>32.166443000000001</v>
      </c>
      <c r="M217" s="6">
        <f t="shared" si="58"/>
        <v>1.0419988155468514</v>
      </c>
      <c r="N217" s="7">
        <f>P216*M217</f>
        <v>2.2282126272273355</v>
      </c>
      <c r="O217" s="6">
        <f t="shared" si="45"/>
        <v>4.1998815546851365E-2</v>
      </c>
      <c r="R217" s="6">
        <f t="shared" si="46"/>
        <v>4.3299162518173144</v>
      </c>
      <c r="S217" s="6">
        <f t="shared" si="59"/>
        <v>1.2418552583309372E-2</v>
      </c>
      <c r="W217" s="6">
        <f t="shared" ref="W217" si="60">F217/R217</f>
        <v>0.48539128758157157</v>
      </c>
      <c r="X217" s="6">
        <f t="shared" ref="X217" si="61">N217/R217</f>
        <v>0.51460871241842832</v>
      </c>
      <c r="Y217" s="7">
        <f t="shared" si="52"/>
        <v>1.2418552583309206E-2</v>
      </c>
      <c r="Z217" s="6">
        <f t="shared" si="53"/>
        <v>1.6653345369377348E-16</v>
      </c>
      <c r="AB217" s="6">
        <f t="shared" si="54"/>
        <v>-1.731067936695076E-2</v>
      </c>
      <c r="AC217" s="6">
        <f t="shared" si="55"/>
        <v>4.1140806619254039E-2</v>
      </c>
      <c r="AD217" s="6">
        <f t="shared" si="56"/>
        <v>1.2342074869906775E-2</v>
      </c>
    </row>
    <row r="218" spans="1:30" x14ac:dyDescent="0.3">
      <c r="A218" s="1">
        <v>44138</v>
      </c>
      <c r="B218">
        <v>456.32800300000002</v>
      </c>
      <c r="C218">
        <v>451.51001000000002</v>
      </c>
      <c r="D218">
        <v>451.51001000000002</v>
      </c>
      <c r="E218">
        <f t="shared" si="57"/>
        <v>0.99671083885209721</v>
      </c>
      <c r="F218">
        <f t="shared" si="49"/>
        <v>2.0947907826835706</v>
      </c>
      <c r="G218">
        <f t="shared" si="50"/>
        <v>-3.289161147902786E-3</v>
      </c>
      <c r="J218">
        <v>34.490001999999997</v>
      </c>
      <c r="K218">
        <v>33.409999999999997</v>
      </c>
      <c r="L218">
        <v>31.617559</v>
      </c>
      <c r="M218">
        <f t="shared" si="58"/>
        <v>0.98293613005329805</v>
      </c>
      <c r="N218">
        <f t="shared" si="51"/>
        <v>2.1901906967427291</v>
      </c>
      <c r="O218">
        <f t="shared" si="45"/>
        <v>-1.7063869946701948E-2</v>
      </c>
      <c r="R218">
        <f t="shared" si="46"/>
        <v>4.2849814794262997</v>
      </c>
      <c r="S218">
        <f t="shared" si="59"/>
        <v>-1.037774630679178E-2</v>
      </c>
      <c r="W218">
        <f t="shared" ref="W218:W235" si="62">F218/R218</f>
        <v>0.48886810660475349</v>
      </c>
      <c r="X218">
        <f t="shared" ref="X218:X235" si="63">N218/R218</f>
        <v>0.51113189339524656</v>
      </c>
      <c r="Y218">
        <f t="shared" si="52"/>
        <v>-1.0377746306791618E-2</v>
      </c>
      <c r="Z218">
        <f t="shared" si="53"/>
        <v>1.6132928326584306E-16</v>
      </c>
      <c r="AB218">
        <f t="shared" si="54"/>
        <v>-3.2945823291210146E-3</v>
      </c>
      <c r="AC218">
        <f t="shared" si="55"/>
        <v>-1.7211135459335898E-2</v>
      </c>
      <c r="AD218">
        <f t="shared" si="56"/>
        <v>-1.0431970592827888E-2</v>
      </c>
    </row>
    <row r="219" spans="1:30" x14ac:dyDescent="0.3">
      <c r="A219" s="1">
        <v>44139</v>
      </c>
      <c r="B219">
        <v>471.92001299999998</v>
      </c>
      <c r="C219">
        <v>483.70001200000002</v>
      </c>
      <c r="D219">
        <v>483.70001200000002</v>
      </c>
      <c r="E219">
        <f t="shared" si="57"/>
        <v>1.0712941048638103</v>
      </c>
      <c r="F219">
        <f t="shared" si="49"/>
        <v>2.2441370164119561</v>
      </c>
      <c r="G219">
        <f t="shared" si="50"/>
        <v>7.129410486381027E-2</v>
      </c>
      <c r="J219">
        <v>33.270000000000003</v>
      </c>
      <c r="K219">
        <v>33.229999999999997</v>
      </c>
      <c r="L219">
        <v>31.447216000000001</v>
      </c>
      <c r="M219">
        <f t="shared" si="58"/>
        <v>0.99461239243674693</v>
      </c>
      <c r="N219">
        <f t="shared" si="51"/>
        <v>2.1783908087799917</v>
      </c>
      <c r="O219">
        <f t="shared" si="45"/>
        <v>-5.3876075632530718E-3</v>
      </c>
      <c r="R219">
        <f t="shared" si="46"/>
        <v>4.4225278251919473</v>
      </c>
      <c r="S219">
        <f t="shared" si="59"/>
        <v>3.2099636002175469E-2</v>
      </c>
      <c r="W219">
        <f t="shared" si="62"/>
        <v>0.50743310276731968</v>
      </c>
      <c r="X219">
        <f t="shared" si="63"/>
        <v>0.49256689723268043</v>
      </c>
      <c r="Y219">
        <f t="shared" si="52"/>
        <v>3.209963600217558E-2</v>
      </c>
      <c r="Z219">
        <f t="shared" si="53"/>
        <v>1.1102230246251565E-16</v>
      </c>
      <c r="AB219">
        <f t="shared" si="54"/>
        <v>6.8867361483790107E-2</v>
      </c>
      <c r="AC219">
        <f t="shared" si="55"/>
        <v>-5.4021730598897639E-3</v>
      </c>
      <c r="AD219">
        <f t="shared" si="56"/>
        <v>3.1595208912792209E-2</v>
      </c>
    </row>
    <row r="220" spans="1:30" x14ac:dyDescent="0.3">
      <c r="A220" s="1">
        <v>44140</v>
      </c>
      <c r="B220">
        <v>497.98998999999998</v>
      </c>
      <c r="C220">
        <v>496.73001099999999</v>
      </c>
      <c r="D220">
        <v>496.73001099999999</v>
      </c>
      <c r="E220">
        <f t="shared" si="57"/>
        <v>1.0269381820896046</v>
      </c>
      <c r="F220">
        <f t="shared" si="49"/>
        <v>2.3045899879940834</v>
      </c>
      <c r="G220">
        <f t="shared" si="50"/>
        <v>2.6938182089604634E-2</v>
      </c>
      <c r="J220">
        <v>33.369999</v>
      </c>
      <c r="K220">
        <v>33.169998</v>
      </c>
      <c r="L220">
        <v>31.390433999999999</v>
      </c>
      <c r="M220">
        <f t="shared" si="58"/>
        <v>0.99819437116468424</v>
      </c>
      <c r="N220">
        <f t="shared" si="51"/>
        <v>2.1744574435210717</v>
      </c>
      <c r="O220">
        <f t="shared" si="45"/>
        <v>-1.8056288353157646E-3</v>
      </c>
      <c r="R220">
        <f t="shared" si="46"/>
        <v>4.4790474315151556</v>
      </c>
      <c r="S220">
        <f t="shared" si="59"/>
        <v>1.2779932327674048E-2</v>
      </c>
      <c r="W220">
        <f t="shared" si="62"/>
        <v>0.51452681027190983</v>
      </c>
      <c r="X220">
        <f t="shared" si="63"/>
        <v>0.48547318972809006</v>
      </c>
      <c r="Y220">
        <f t="shared" si="52"/>
        <v>1.2779932327673774E-2</v>
      </c>
      <c r="Z220">
        <f t="shared" si="53"/>
        <v>2.7408630920433552E-16</v>
      </c>
      <c r="AB220">
        <f t="shared" si="54"/>
        <v>2.6581736427469162E-2</v>
      </c>
      <c r="AC220">
        <f t="shared" si="55"/>
        <v>-1.8072609480169692E-3</v>
      </c>
      <c r="AD220">
        <f t="shared" si="56"/>
        <v>1.2698958159019225E-2</v>
      </c>
    </row>
    <row r="221" spans="1:30" x14ac:dyDescent="0.3">
      <c r="A221" s="1">
        <v>44141</v>
      </c>
      <c r="B221">
        <v>494.66000400000001</v>
      </c>
      <c r="C221">
        <v>500.10998499999999</v>
      </c>
      <c r="D221">
        <v>500.10998499999999</v>
      </c>
      <c r="E221">
        <f t="shared" si="57"/>
        <v>1.0068044489464116</v>
      </c>
      <c r="F221">
        <f t="shared" si="49"/>
        <v>2.3202714529098007</v>
      </c>
      <c r="G221">
        <f t="shared" si="50"/>
        <v>6.8044489464116342E-3</v>
      </c>
      <c r="J221">
        <v>33.099997999999999</v>
      </c>
      <c r="K221">
        <v>32.779998999999997</v>
      </c>
      <c r="L221">
        <v>31.021357999999999</v>
      </c>
      <c r="M221">
        <f t="shared" si="58"/>
        <v>0.9882424053136698</v>
      </c>
      <c r="N221">
        <f t="shared" si="51"/>
        <v>2.1488910542374771</v>
      </c>
      <c r="O221">
        <f t="shared" si="45"/>
        <v>-1.1757594686330197E-2</v>
      </c>
      <c r="R221">
        <f t="shared" si="46"/>
        <v>4.4691625071472778</v>
      </c>
      <c r="S221">
        <f t="shared" si="59"/>
        <v>-2.2069255838476076E-3</v>
      </c>
      <c r="W221">
        <f t="shared" si="62"/>
        <v>0.51917365931516757</v>
      </c>
      <c r="X221">
        <f t="shared" si="63"/>
        <v>0.48082634068483249</v>
      </c>
      <c r="Y221">
        <f t="shared" si="52"/>
        <v>-2.2069255838475274E-3</v>
      </c>
      <c r="Z221">
        <f t="shared" si="53"/>
        <v>8.0230960763927328E-17</v>
      </c>
      <c r="AB221">
        <f t="shared" si="54"/>
        <v>6.7814031671663251E-3</v>
      </c>
      <c r="AC221">
        <f t="shared" si="55"/>
        <v>-1.1827261819774613E-2</v>
      </c>
      <c r="AD221">
        <f t="shared" si="56"/>
        <v>-2.2093644330137005E-3</v>
      </c>
    </row>
    <row r="222" spans="1:30" x14ac:dyDescent="0.3">
      <c r="A222" s="1">
        <v>44144</v>
      </c>
      <c r="B222">
        <v>433</v>
      </c>
      <c r="C222">
        <v>413.23998999999998</v>
      </c>
      <c r="D222">
        <v>413.23998999999998</v>
      </c>
      <c r="E222">
        <f t="shared" si="57"/>
        <v>0.82629821918072677</v>
      </c>
      <c r="F222">
        <f t="shared" si="49"/>
        <v>1.9172361695552458</v>
      </c>
      <c r="G222">
        <f t="shared" si="50"/>
        <v>-0.17370178081927323</v>
      </c>
      <c r="J222">
        <v>36.419998</v>
      </c>
      <c r="K222">
        <v>36.93</v>
      </c>
      <c r="L222">
        <v>34.948715</v>
      </c>
      <c r="M222">
        <f t="shared" si="58"/>
        <v>1.1266017109889257</v>
      </c>
      <c r="N222">
        <f t="shared" si="51"/>
        <v>2.4209443384327378</v>
      </c>
      <c r="O222">
        <f t="shared" si="45"/>
        <v>0.1266017109889257</v>
      </c>
      <c r="R222">
        <f t="shared" si="46"/>
        <v>4.3381805079879836</v>
      </c>
      <c r="S222">
        <f t="shared" si="59"/>
        <v>-2.9307951758259398E-2</v>
      </c>
      <c r="W222">
        <f t="shared" si="62"/>
        <v>0.44194476601999344</v>
      </c>
      <c r="X222">
        <f t="shared" si="63"/>
        <v>0.55805523398000656</v>
      </c>
      <c r="Y222">
        <f t="shared" si="52"/>
        <v>-2.9307951758259392E-2</v>
      </c>
      <c r="Z222">
        <f t="shared" si="53"/>
        <v>6.9388939039072284E-18</v>
      </c>
      <c r="AB222">
        <f t="shared" si="54"/>
        <v>-0.19079953045010695</v>
      </c>
      <c r="AC222">
        <f t="shared" si="55"/>
        <v>0.11920576619641232</v>
      </c>
      <c r="AD222">
        <f t="shared" si="56"/>
        <v>-2.9746010074844554E-2</v>
      </c>
    </row>
    <row r="223" spans="1:30" x14ac:dyDescent="0.3">
      <c r="A223" s="1">
        <v>44145</v>
      </c>
      <c r="B223">
        <v>412.50399800000002</v>
      </c>
      <c r="C223">
        <v>376.01001000000002</v>
      </c>
      <c r="D223">
        <v>376.01001000000002</v>
      </c>
      <c r="E223">
        <f t="shared" si="57"/>
        <v>0.90990712200917445</v>
      </c>
      <c r="F223">
        <f t="shared" si="49"/>
        <v>1.7445068452519072</v>
      </c>
      <c r="G223">
        <f t="shared" si="50"/>
        <v>-9.0092877990825548E-2</v>
      </c>
      <c r="J223">
        <v>37.049999</v>
      </c>
      <c r="K223">
        <v>36.860000999999997</v>
      </c>
      <c r="L223">
        <v>35.724060000000001</v>
      </c>
      <c r="M223">
        <f t="shared" si="58"/>
        <v>1.022185221974542</v>
      </c>
      <c r="N223">
        <f t="shared" si="51"/>
        <v>2.4746535259688787</v>
      </c>
      <c r="O223">
        <f t="shared" si="45"/>
        <v>2.218522197454198E-2</v>
      </c>
      <c r="R223">
        <f t="shared" si="46"/>
        <v>4.2191603712207861</v>
      </c>
      <c r="S223">
        <f t="shared" si="59"/>
        <v>-2.7435496643821833E-2</v>
      </c>
      <c r="W223">
        <f t="shared" si="62"/>
        <v>0.41347251390379025</v>
      </c>
      <c r="X223">
        <f t="shared" si="63"/>
        <v>0.58652748609620975</v>
      </c>
      <c r="Y223">
        <f t="shared" si="52"/>
        <v>-2.7435496643821805E-2</v>
      </c>
      <c r="Z223">
        <f t="shared" si="53"/>
        <v>2.7755575615628914E-17</v>
      </c>
      <c r="AB223">
        <f t="shared" si="54"/>
        <v>-9.4412748406279778E-2</v>
      </c>
      <c r="AC223">
        <f t="shared" si="55"/>
        <v>2.1942710169218244E-2</v>
      </c>
      <c r="AD223">
        <f t="shared" si="56"/>
        <v>-2.7818878330559717E-2</v>
      </c>
    </row>
    <row r="224" spans="1:30" x14ac:dyDescent="0.3">
      <c r="A224" s="1">
        <v>44146</v>
      </c>
      <c r="B224">
        <v>391.64999399999999</v>
      </c>
      <c r="C224">
        <v>413.33999599999999</v>
      </c>
      <c r="D224">
        <v>413.33999599999999</v>
      </c>
      <c r="E224">
        <f t="shared" si="57"/>
        <v>1.0992792346139932</v>
      </c>
      <c r="F224">
        <f t="shared" si="49"/>
        <v>1.9177001496273884</v>
      </c>
      <c r="G224">
        <f t="shared" si="50"/>
        <v>9.9279234613993239E-2</v>
      </c>
      <c r="J224">
        <v>37.090000000000003</v>
      </c>
      <c r="K224">
        <v>36.479999999999997</v>
      </c>
      <c r="L224">
        <v>35.35577</v>
      </c>
      <c r="M224">
        <f t="shared" si="58"/>
        <v>0.98969070144882743</v>
      </c>
      <c r="N224">
        <f t="shared" si="51"/>
        <v>2.4491415839589536</v>
      </c>
      <c r="O224">
        <f t="shared" si="45"/>
        <v>-1.0309298551172574E-2</v>
      </c>
      <c r="R224">
        <f t="shared" si="46"/>
        <v>4.3668417335863419</v>
      </c>
      <c r="S224">
        <f t="shared" si="59"/>
        <v>3.5002547751657342E-2</v>
      </c>
      <c r="W224">
        <f t="shared" si="62"/>
        <v>0.4391503669294754</v>
      </c>
      <c r="X224">
        <f t="shared" si="63"/>
        <v>0.56084963307052471</v>
      </c>
      <c r="Y224">
        <f t="shared" si="52"/>
        <v>3.5002547751657426E-2</v>
      </c>
      <c r="Z224">
        <f t="shared" si="53"/>
        <v>8.3266726846886741E-17</v>
      </c>
      <c r="AB224">
        <f t="shared" si="54"/>
        <v>9.4654723779944203E-2</v>
      </c>
      <c r="AC224">
        <f t="shared" si="55"/>
        <v>-1.0362807446627414E-2</v>
      </c>
      <c r="AD224">
        <f t="shared" si="56"/>
        <v>3.4403888310106871E-2</v>
      </c>
    </row>
    <row r="225" spans="1:30" x14ac:dyDescent="0.3">
      <c r="A225" s="1">
        <v>44147</v>
      </c>
      <c r="B225">
        <v>427.85000600000001</v>
      </c>
      <c r="C225">
        <v>428.64001500000001</v>
      </c>
      <c r="D225">
        <v>428.64001500000001</v>
      </c>
      <c r="E225">
        <f t="shared" si="57"/>
        <v>1.0370155783327584</v>
      </c>
      <c r="F225">
        <f t="shared" si="49"/>
        <v>1.9886849297346634</v>
      </c>
      <c r="G225">
        <f t="shared" si="50"/>
        <v>3.701557833275837E-2</v>
      </c>
      <c r="J225">
        <v>35.860000999999997</v>
      </c>
      <c r="K225">
        <v>35.229999999999997</v>
      </c>
      <c r="L225">
        <v>34.144291000000003</v>
      </c>
      <c r="M225">
        <f t="shared" si="58"/>
        <v>0.96573461700876551</v>
      </c>
      <c r="N225">
        <f t="shared" si="51"/>
        <v>2.3652208095848413</v>
      </c>
      <c r="O225">
        <f t="shared" si="45"/>
        <v>-3.4265382991234494E-2</v>
      </c>
      <c r="R225">
        <f t="shared" si="46"/>
        <v>4.3539057393195044</v>
      </c>
      <c r="S225">
        <f t="shared" si="59"/>
        <v>-2.9623226707173878E-3</v>
      </c>
      <c r="W225">
        <f t="shared" si="62"/>
        <v>0.45675883879963963</v>
      </c>
      <c r="X225">
        <f t="shared" si="63"/>
        <v>0.54324116120036037</v>
      </c>
      <c r="Y225">
        <f t="shared" si="52"/>
        <v>-2.9623226707172871E-3</v>
      </c>
      <c r="Z225">
        <f t="shared" si="53"/>
        <v>1.0061396160665481E-16</v>
      </c>
      <c r="AB225">
        <f t="shared" si="54"/>
        <v>3.6346951634802803E-2</v>
      </c>
      <c r="AC225">
        <f t="shared" si="55"/>
        <v>-3.4866206106468726E-2</v>
      </c>
      <c r="AD225">
        <f t="shared" si="56"/>
        <v>-2.9667190329625151E-3</v>
      </c>
    </row>
    <row r="226" spans="1:30" x14ac:dyDescent="0.3">
      <c r="A226" s="1">
        <v>44148</v>
      </c>
      <c r="B226">
        <v>425.98998999999998</v>
      </c>
      <c r="C226">
        <v>403.57998700000002</v>
      </c>
      <c r="D226">
        <v>403.57998700000002</v>
      </c>
      <c r="E226">
        <f t="shared" si="57"/>
        <v>0.94153595762635467</v>
      </c>
      <c r="F226">
        <f t="shared" si="49"/>
        <v>1.8724183697348262</v>
      </c>
      <c r="G226">
        <f t="shared" si="50"/>
        <v>-5.8464042373645331E-2</v>
      </c>
      <c r="J226">
        <v>35.400002000000001</v>
      </c>
      <c r="K226">
        <v>36.080002</v>
      </c>
      <c r="L226">
        <v>34.968097999999998</v>
      </c>
      <c r="M226">
        <f t="shared" si="58"/>
        <v>1.0241272252512139</v>
      </c>
      <c r="N226">
        <f t="shared" si="51"/>
        <v>2.4222870248265531</v>
      </c>
      <c r="O226">
        <f t="shared" si="45"/>
        <v>2.4127225251213913E-2</v>
      </c>
      <c r="R226">
        <f t="shared" si="46"/>
        <v>4.2947053945613796</v>
      </c>
      <c r="S226">
        <f t="shared" si="59"/>
        <v>-1.3597066244106948E-2</v>
      </c>
      <c r="W226">
        <f t="shared" si="62"/>
        <v>0.43598295988031499</v>
      </c>
      <c r="X226">
        <f t="shared" si="63"/>
        <v>0.56401704011968501</v>
      </c>
      <c r="Y226">
        <f t="shared" si="52"/>
        <v>-1.3597066244107064E-2</v>
      </c>
      <c r="Z226">
        <f t="shared" si="53"/>
        <v>1.1622647289044608E-16</v>
      </c>
      <c r="AB226">
        <f t="shared" si="54"/>
        <v>-6.0242739764666514E-2</v>
      </c>
      <c r="AC226">
        <f t="shared" si="55"/>
        <v>2.3840762309131472E-2</v>
      </c>
      <c r="AD226">
        <f t="shared" si="56"/>
        <v>-1.369035293134328E-2</v>
      </c>
    </row>
    <row r="227" spans="1:30" x14ac:dyDescent="0.3">
      <c r="A227" s="1">
        <v>44151</v>
      </c>
      <c r="B227">
        <v>382.60000600000001</v>
      </c>
      <c r="C227">
        <v>399.14999399999999</v>
      </c>
      <c r="D227">
        <v>399.14999399999999</v>
      </c>
      <c r="E227">
        <f t="shared" si="57"/>
        <v>0.98902325897542576</v>
      </c>
      <c r="F227">
        <f t="shared" si="49"/>
        <v>1.8518653182005915</v>
      </c>
      <c r="G227">
        <f t="shared" si="50"/>
        <v>-1.0976741024574244E-2</v>
      </c>
      <c r="J227">
        <v>37.590000000000003</v>
      </c>
      <c r="K227">
        <v>38.159999999999997</v>
      </c>
      <c r="L227">
        <v>36.983994000000003</v>
      </c>
      <c r="M227">
        <f t="shared" si="58"/>
        <v>1.057649575335782</v>
      </c>
      <c r="N227">
        <f t="shared" si="51"/>
        <v>2.5619308431491787</v>
      </c>
      <c r="O227">
        <f t="shared" si="45"/>
        <v>5.7649575335781966E-2</v>
      </c>
      <c r="R227">
        <f t="shared" si="46"/>
        <v>4.4137961613497705</v>
      </c>
      <c r="S227">
        <f t="shared" si="59"/>
        <v>2.7729670803311013E-2</v>
      </c>
      <c r="W227">
        <f t="shared" si="62"/>
        <v>0.41956294547917633</v>
      </c>
      <c r="X227">
        <f t="shared" si="63"/>
        <v>0.58043705452082361</v>
      </c>
      <c r="Y227">
        <f t="shared" si="52"/>
        <v>2.7729670803310985E-2</v>
      </c>
      <c r="Z227">
        <f t="shared" si="53"/>
        <v>2.7755575615628914E-17</v>
      </c>
      <c r="AB227">
        <f t="shared" si="54"/>
        <v>-1.1037429966167514E-2</v>
      </c>
      <c r="AC227">
        <f t="shared" si="55"/>
        <v>5.6049064334165719E-2</v>
      </c>
      <c r="AD227">
        <f t="shared" si="56"/>
        <v>2.7352166306674988E-2</v>
      </c>
    </row>
    <row r="228" spans="1:30" x14ac:dyDescent="0.3">
      <c r="A228" s="1">
        <v>44152</v>
      </c>
      <c r="B228">
        <v>406.290009</v>
      </c>
      <c r="C228">
        <v>401.63000499999998</v>
      </c>
      <c r="D228">
        <v>401.63000499999998</v>
      </c>
      <c r="E228">
        <f t="shared" si="57"/>
        <v>1.0062132307084539</v>
      </c>
      <c r="F228">
        <f t="shared" si="49"/>
        <v>1.8633713846635562</v>
      </c>
      <c r="G228">
        <f t="shared" si="50"/>
        <v>6.2132307084539207E-3</v>
      </c>
      <c r="J228">
        <v>37.810001</v>
      </c>
      <c r="K228">
        <v>38.669998</v>
      </c>
      <c r="L228">
        <v>37.478279000000001</v>
      </c>
      <c r="M228">
        <f t="shared" si="58"/>
        <v>1.0133648356096965</v>
      </c>
      <c r="N228">
        <f t="shared" si="51"/>
        <v>2.5961706277112788</v>
      </c>
      <c r="O228">
        <f t="shared" si="45"/>
        <v>1.3364835609696479E-2</v>
      </c>
      <c r="R228">
        <f t="shared" si="46"/>
        <v>4.4595420123748353</v>
      </c>
      <c r="S228">
        <f t="shared" si="59"/>
        <v>1.0364287192427879E-2</v>
      </c>
      <c r="W228">
        <f t="shared" si="62"/>
        <v>0.41783918157803318</v>
      </c>
      <c r="X228">
        <f t="shared" si="63"/>
        <v>0.58216081842196676</v>
      </c>
      <c r="Y228">
        <f t="shared" si="52"/>
        <v>1.0364287192427837E-2</v>
      </c>
      <c r="Z228">
        <f t="shared" si="53"/>
        <v>4.163336342344337E-17</v>
      </c>
      <c r="AB228">
        <f t="shared" si="54"/>
        <v>6.1940081721474803E-3</v>
      </c>
      <c r="AC228">
        <f t="shared" si="55"/>
        <v>1.3276314039532635E-2</v>
      </c>
      <c r="AD228">
        <f t="shared" si="56"/>
        <v>1.0310946212175313E-2</v>
      </c>
    </row>
    <row r="229" spans="1:30" x14ac:dyDescent="0.3">
      <c r="A229" s="1">
        <v>44153</v>
      </c>
      <c r="B229">
        <v>399</v>
      </c>
      <c r="C229">
        <v>415.040009</v>
      </c>
      <c r="D229">
        <v>415.040009</v>
      </c>
      <c r="E229">
        <f t="shared" si="57"/>
        <v>1.0333889496129653</v>
      </c>
      <c r="F229">
        <f t="shared" si="49"/>
        <v>1.9255873979363292</v>
      </c>
      <c r="G229">
        <f t="shared" si="50"/>
        <v>3.3388949612965346E-2</v>
      </c>
      <c r="J229">
        <v>39.020000000000003</v>
      </c>
      <c r="K229">
        <v>37.209999000000003</v>
      </c>
      <c r="L229">
        <v>36.063271</v>
      </c>
      <c r="M229">
        <f t="shared" si="58"/>
        <v>0.96224458438980076</v>
      </c>
      <c r="N229">
        <f t="shared" si="51"/>
        <v>2.4981511266670475</v>
      </c>
      <c r="O229">
        <f t="shared" si="45"/>
        <v>-3.7755415610199239E-2</v>
      </c>
      <c r="R229">
        <f t="shared" si="46"/>
        <v>4.4237385246033769</v>
      </c>
      <c r="S229">
        <f t="shared" si="59"/>
        <v>-8.028512271463506E-3</v>
      </c>
      <c r="W229">
        <f t="shared" si="62"/>
        <v>0.43528508460137194</v>
      </c>
      <c r="X229">
        <f t="shared" si="63"/>
        <v>0.56471491539862806</v>
      </c>
      <c r="Y229">
        <f t="shared" si="52"/>
        <v>-8.0285122714634626E-3</v>
      </c>
      <c r="Z229">
        <f t="shared" si="53"/>
        <v>4.3368086899420177E-17</v>
      </c>
      <c r="AB229">
        <f t="shared" si="54"/>
        <v>3.2843643580723399E-2</v>
      </c>
      <c r="AC229">
        <f t="shared" si="55"/>
        <v>-3.8486614903954726E-2</v>
      </c>
      <c r="AD229">
        <f t="shared" si="56"/>
        <v>-8.0609143194660653E-3</v>
      </c>
    </row>
    <row r="230" spans="1:30" x14ac:dyDescent="0.3">
      <c r="A230" s="1">
        <v>44154</v>
      </c>
      <c r="B230">
        <v>408.98998999999998</v>
      </c>
      <c r="C230">
        <v>414.290009</v>
      </c>
      <c r="D230">
        <v>414.290009</v>
      </c>
      <c r="E230">
        <f t="shared" si="57"/>
        <v>0.99819294529747371</v>
      </c>
      <c r="F230">
        <f t="shared" si="49"/>
        <v>1.9221077561737629</v>
      </c>
      <c r="G230">
        <f t="shared" si="50"/>
        <v>-1.8070547025262895E-3</v>
      </c>
      <c r="J230">
        <v>36.860000999999997</v>
      </c>
      <c r="K230">
        <v>37.400002000000001</v>
      </c>
      <c r="L230">
        <v>36.247416999999999</v>
      </c>
      <c r="M230">
        <f t="shared" si="58"/>
        <v>1.0051061923916995</v>
      </c>
      <c r="N230">
        <f t="shared" si="51"/>
        <v>2.5109071669433503</v>
      </c>
      <c r="O230">
        <f t="shared" si="45"/>
        <v>5.1061923916995156E-3</v>
      </c>
      <c r="R230">
        <f t="shared" si="46"/>
        <v>4.4330149231171134</v>
      </c>
      <c r="S230">
        <f t="shared" si="59"/>
        <v>2.0969590454191778E-3</v>
      </c>
      <c r="W230">
        <f t="shared" si="62"/>
        <v>0.43358928167609595</v>
      </c>
      <c r="X230">
        <f t="shared" si="63"/>
        <v>0.56641071832390399</v>
      </c>
      <c r="Y230">
        <f t="shared" si="52"/>
        <v>2.0969590454192472E-3</v>
      </c>
      <c r="Z230">
        <f t="shared" si="53"/>
        <v>6.9388939039072284E-17</v>
      </c>
      <c r="AB230">
        <f t="shared" si="54"/>
        <v>-1.8086893954918329E-3</v>
      </c>
      <c r="AC230">
        <f t="shared" si="55"/>
        <v>5.0932000003271003E-3</v>
      </c>
      <c r="AD230">
        <f t="shared" si="56"/>
        <v>2.0947634955830667E-3</v>
      </c>
    </row>
    <row r="231" spans="1:30" x14ac:dyDescent="0.3">
      <c r="A231" s="1">
        <v>44155</v>
      </c>
      <c r="B231">
        <v>418.54998799999998</v>
      </c>
      <c r="C231">
        <v>439.60000600000001</v>
      </c>
      <c r="D231">
        <v>439.60000600000001</v>
      </c>
      <c r="E231">
        <f t="shared" si="57"/>
        <v>1.0610924628887202</v>
      </c>
      <c r="F231">
        <f t="shared" si="49"/>
        <v>2.0395340529359296</v>
      </c>
      <c r="G231">
        <f t="shared" si="50"/>
        <v>6.1092462888720167E-2</v>
      </c>
      <c r="J231">
        <v>37.349997999999999</v>
      </c>
      <c r="K231">
        <v>36.939999</v>
      </c>
      <c r="L231">
        <v>35.801594000000001</v>
      </c>
      <c r="M231">
        <f t="shared" si="58"/>
        <v>0.98770055808390433</v>
      </c>
      <c r="N231">
        <f t="shared" si="51"/>
        <v>2.4800244100868221</v>
      </c>
      <c r="O231">
        <f t="shared" si="45"/>
        <v>-1.2299441916095666E-2</v>
      </c>
      <c r="R231">
        <f t="shared" si="46"/>
        <v>4.5195584630227517</v>
      </c>
      <c r="S231">
        <f t="shared" si="59"/>
        <v>1.9522501369064749E-2</v>
      </c>
      <c r="W231">
        <f t="shared" si="62"/>
        <v>0.45126843022888063</v>
      </c>
      <c r="X231">
        <f t="shared" si="63"/>
        <v>0.54873156977111937</v>
      </c>
      <c r="Y231">
        <f t="shared" si="52"/>
        <v>1.9522501369064846E-2</v>
      </c>
      <c r="Z231">
        <f t="shared" si="53"/>
        <v>9.7144514654701197E-17</v>
      </c>
      <c r="AB231">
        <f t="shared" si="54"/>
        <v>5.9299002760994014E-2</v>
      </c>
      <c r="AC231">
        <f t="shared" si="55"/>
        <v>-1.2375706034394734E-2</v>
      </c>
      <c r="AD231">
        <f t="shared" si="56"/>
        <v>1.933438177367219E-2</v>
      </c>
    </row>
    <row r="232" spans="1:30" x14ac:dyDescent="0.3">
      <c r="A232" s="1">
        <v>44158</v>
      </c>
      <c r="B232">
        <v>432.01001000000002</v>
      </c>
      <c r="C232">
        <v>430.27999899999998</v>
      </c>
      <c r="D232">
        <v>430.27999899999998</v>
      </c>
      <c r="E232">
        <f t="shared" si="57"/>
        <v>0.97879889246407326</v>
      </c>
      <c r="F232">
        <f t="shared" si="49"/>
        <v>1.9962936721564504</v>
      </c>
      <c r="G232">
        <f t="shared" si="50"/>
        <v>-2.1201107535926744E-2</v>
      </c>
      <c r="J232">
        <v>37.5</v>
      </c>
      <c r="K232">
        <v>39.360000999999997</v>
      </c>
      <c r="L232">
        <v>38.147015000000003</v>
      </c>
      <c r="M232">
        <f t="shared" si="58"/>
        <v>1.0655116361578763</v>
      </c>
      <c r="N232">
        <f t="shared" si="51"/>
        <v>2.6424948669030814</v>
      </c>
      <c r="O232">
        <f t="shared" si="45"/>
        <v>6.5511636157876252E-2</v>
      </c>
      <c r="R232">
        <f t="shared" si="46"/>
        <v>4.638788539059532</v>
      </c>
      <c r="S232">
        <f t="shared" si="59"/>
        <v>2.6380912430334469E-2</v>
      </c>
      <c r="W232">
        <f t="shared" si="62"/>
        <v>0.43034806509226631</v>
      </c>
      <c r="X232">
        <f t="shared" si="63"/>
        <v>0.56965193490773369</v>
      </c>
      <c r="Y232">
        <f t="shared" si="52"/>
        <v>2.6380912430334504E-2</v>
      </c>
      <c r="Z232">
        <f t="shared" si="53"/>
        <v>3.4694469519536142E-17</v>
      </c>
      <c r="AB232">
        <f t="shared" si="54"/>
        <v>-2.1429078938501274E-2</v>
      </c>
      <c r="AC232">
        <f t="shared" si="55"/>
        <v>6.3455093339583477E-2</v>
      </c>
      <c r="AD232">
        <f t="shared" si="56"/>
        <v>2.6038937527444472E-2</v>
      </c>
    </row>
    <row r="233" spans="1:30" x14ac:dyDescent="0.3">
      <c r="A233" s="1">
        <v>44159</v>
      </c>
      <c r="B233">
        <v>421.50500499999998</v>
      </c>
      <c r="C233">
        <v>427.54998799999998</v>
      </c>
      <c r="D233">
        <v>427.54998799999998</v>
      </c>
      <c r="E233">
        <f t="shared" si="57"/>
        <v>0.99365526864752085</v>
      </c>
      <c r="F233">
        <f t="shared" si="49"/>
        <v>1.9836277251059635</v>
      </c>
      <c r="G233">
        <f t="shared" si="50"/>
        <v>-6.3447313524791493E-3</v>
      </c>
      <c r="J233">
        <v>40.509998000000003</v>
      </c>
      <c r="K233">
        <v>41.98</v>
      </c>
      <c r="L233">
        <v>40.686275000000002</v>
      </c>
      <c r="M233">
        <f t="shared" si="58"/>
        <v>1.06656510345567</v>
      </c>
      <c r="N233">
        <f t="shared" si="51"/>
        <v>2.818392811099562</v>
      </c>
      <c r="O233">
        <f t="shared" si="45"/>
        <v>6.6565103455670016E-2</v>
      </c>
      <c r="R233">
        <f t="shared" si="46"/>
        <v>4.802020536205525</v>
      </c>
      <c r="S233">
        <f t="shared" si="59"/>
        <v>3.5188497119786E-2</v>
      </c>
      <c r="W233">
        <f t="shared" si="62"/>
        <v>0.41308189128932638</v>
      </c>
      <c r="X233">
        <f t="shared" si="63"/>
        <v>0.58691810871067374</v>
      </c>
      <c r="Y233">
        <f t="shared" si="52"/>
        <v>3.5188497119786256E-2</v>
      </c>
      <c r="Z233">
        <f t="shared" si="53"/>
        <v>2.5673907444456745E-16</v>
      </c>
      <c r="AB233">
        <f t="shared" si="54"/>
        <v>-6.3649447046654926E-3</v>
      </c>
      <c r="AC233">
        <f t="shared" si="55"/>
        <v>6.4443301093977348E-2</v>
      </c>
      <c r="AD233">
        <f t="shared" si="56"/>
        <v>3.4583532956034016E-2</v>
      </c>
    </row>
    <row r="234" spans="1:30" x14ac:dyDescent="0.3">
      <c r="A234" s="1">
        <v>44160</v>
      </c>
      <c r="B234">
        <v>435.85000600000001</v>
      </c>
      <c r="C234">
        <v>443.72000100000002</v>
      </c>
      <c r="D234">
        <v>443.72000100000002</v>
      </c>
      <c r="E234">
        <f t="shared" si="57"/>
        <v>1.0378201694628513</v>
      </c>
      <c r="F234">
        <f t="shared" si="49"/>
        <v>2.0586488618206813</v>
      </c>
      <c r="G234">
        <f t="shared" si="50"/>
        <v>3.7820169462851272E-2</v>
      </c>
      <c r="J234">
        <v>41.669998</v>
      </c>
      <c r="K234">
        <v>40.810001</v>
      </c>
      <c r="L234">
        <v>39.552329999999998</v>
      </c>
      <c r="M234">
        <f t="shared" si="58"/>
        <v>0.97212954491410175</v>
      </c>
      <c r="N234">
        <f t="shared" si="51"/>
        <v>2.739842920843393</v>
      </c>
      <c r="O234">
        <f t="shared" si="45"/>
        <v>-2.7870455085898249E-2</v>
      </c>
      <c r="R234">
        <f t="shared" si="46"/>
        <v>4.7984917826640743</v>
      </c>
      <c r="S234">
        <f t="shared" si="59"/>
        <v>-7.348476573236784E-4</v>
      </c>
      <c r="W234">
        <f t="shared" si="62"/>
        <v>0.42901998274919212</v>
      </c>
      <c r="X234">
        <f t="shared" si="63"/>
        <v>0.57098001725080783</v>
      </c>
      <c r="Y234">
        <f t="shared" si="52"/>
        <v>-7.3484765732374779E-4</v>
      </c>
      <c r="Z234">
        <f t="shared" si="53"/>
        <v>6.9388939039072284E-17</v>
      </c>
      <c r="AB234">
        <f t="shared" si="54"/>
        <v>3.7122522589061277E-2</v>
      </c>
      <c r="AC234">
        <f t="shared" si="55"/>
        <v>-2.826620674164456E-2</v>
      </c>
      <c r="AD234">
        <f t="shared" si="56"/>
        <v>-7.3511779020920133E-4</v>
      </c>
    </row>
    <row r="235" spans="1:30" x14ac:dyDescent="0.3">
      <c r="A235" s="1">
        <v>44162</v>
      </c>
      <c r="B235">
        <v>453.98998999999998</v>
      </c>
      <c r="C235">
        <v>471.60998499999999</v>
      </c>
      <c r="D235">
        <v>471.60998499999999</v>
      </c>
      <c r="E235">
        <f t="shared" si="57"/>
        <v>1.0628549173738959</v>
      </c>
      <c r="F235">
        <f t="shared" si="49"/>
        <v>2.1880450659322852</v>
      </c>
      <c r="G235">
        <f t="shared" si="50"/>
        <v>6.2854917373895924E-2</v>
      </c>
      <c r="J235">
        <v>40.700001</v>
      </c>
      <c r="K235">
        <v>40.189999</v>
      </c>
      <c r="L235">
        <v>38.951434999999996</v>
      </c>
      <c r="M235">
        <f t="shared" si="58"/>
        <v>0.98480759540588381</v>
      </c>
      <c r="N235">
        <f t="shared" si="51"/>
        <v>2.6982181186656149</v>
      </c>
      <c r="O235">
        <f t="shared" si="45"/>
        <v>-1.5192404594116193E-2</v>
      </c>
      <c r="R235">
        <f t="shared" si="46"/>
        <v>4.8862631845979001</v>
      </c>
      <c r="S235">
        <f t="shared" si="59"/>
        <v>1.8291456130220984E-2</v>
      </c>
      <c r="W235">
        <f t="shared" si="62"/>
        <v>0.4477951725623931</v>
      </c>
      <c r="X235">
        <f t="shared" si="63"/>
        <v>0.5522048274376069</v>
      </c>
      <c r="Y235">
        <f t="shared" si="52"/>
        <v>1.8291456130221009E-2</v>
      </c>
      <c r="Z235">
        <f t="shared" si="53"/>
        <v>2.4286128663675299E-17</v>
      </c>
      <c r="AB235">
        <f t="shared" si="54"/>
        <v>6.0958605918848739E-2</v>
      </c>
      <c r="AC235">
        <f t="shared" si="55"/>
        <v>-1.5308991503654418E-2</v>
      </c>
      <c r="AD235">
        <f t="shared" si="56"/>
        <v>1.8126179833485103E-2</v>
      </c>
    </row>
    <row r="236" spans="1:30" s="6" customFormat="1" x14ac:dyDescent="0.3">
      <c r="A236" s="5">
        <v>44165</v>
      </c>
      <c r="B236" s="6">
        <v>485.70001200000002</v>
      </c>
      <c r="C236" s="6">
        <v>478.35998499999999</v>
      </c>
      <c r="D236" s="6">
        <v>478.35998499999999</v>
      </c>
      <c r="E236" s="6">
        <f t="shared" si="57"/>
        <v>1.014312674062658</v>
      </c>
      <c r="F236" s="6">
        <f t="shared" si="49"/>
        <v>2.2193618417953811</v>
      </c>
      <c r="G236" s="6">
        <f t="shared" si="50"/>
        <v>1.4312674062658015E-2</v>
      </c>
      <c r="H236" s="7">
        <f>0.5*R236</f>
        <v>2.3896394142660933</v>
      </c>
      <c r="J236" s="6">
        <v>39.799999</v>
      </c>
      <c r="K236" s="6">
        <v>38.130001</v>
      </c>
      <c r="L236" s="6">
        <v>36.954922000000003</v>
      </c>
      <c r="M236" s="6">
        <f t="shared" si="58"/>
        <v>0.94874353152842783</v>
      </c>
      <c r="N236" s="6">
        <f t="shared" si="51"/>
        <v>2.5599169867368059</v>
      </c>
      <c r="O236" s="6">
        <f t="shared" si="45"/>
        <v>-5.125646847157217E-2</v>
      </c>
      <c r="P236" s="7">
        <f>0.5*R236</f>
        <v>2.3896394142660933</v>
      </c>
      <c r="R236" s="6">
        <f t="shared" si="46"/>
        <v>4.7792788285321866</v>
      </c>
      <c r="S236" s="6">
        <f t="shared" si="59"/>
        <v>-2.1894922975688513E-2</v>
      </c>
      <c r="U236" s="6">
        <f>F236/R236</f>
        <v>0.46437170155167368</v>
      </c>
      <c r="V236" s="6">
        <f>N236/R236</f>
        <v>0.53562829844832638</v>
      </c>
      <c r="W236" s="7">
        <v>0.5</v>
      </c>
      <c r="X236" s="7">
        <v>0.5</v>
      </c>
      <c r="Y236" s="6">
        <f t="shared" ref="Y236:Y237" si="64">W235*G236+X235*O236</f>
        <v>-2.1894922975688416E-2</v>
      </c>
      <c r="Z236" s="6">
        <f t="shared" si="53"/>
        <v>9.7144514654701197E-17</v>
      </c>
      <c r="AB236" s="6">
        <f t="shared" si="54"/>
        <v>1.4211214700488358E-2</v>
      </c>
      <c r="AC236" s="6">
        <f t="shared" si="55"/>
        <v>-5.2616768183889391E-2</v>
      </c>
      <c r="AD236" s="6">
        <f t="shared" si="56"/>
        <v>-2.2138173998505616E-2</v>
      </c>
    </row>
    <row r="237" spans="1:30" s="6" customFormat="1" x14ac:dyDescent="0.3">
      <c r="A237" s="5">
        <v>44166</v>
      </c>
      <c r="B237" s="6">
        <v>434.72000100000002</v>
      </c>
      <c r="C237" s="6">
        <v>406.30999800000001</v>
      </c>
      <c r="D237" s="6">
        <v>406.30999800000001</v>
      </c>
      <c r="E237" s="6">
        <f t="shared" si="57"/>
        <v>0.84938124161869433</v>
      </c>
      <c r="F237" s="7">
        <f>H236*E237</f>
        <v>2.0297148927103037</v>
      </c>
      <c r="G237" s="6">
        <f t="shared" si="50"/>
        <v>-0.15061875838130567</v>
      </c>
      <c r="J237" s="6">
        <v>38.959999000000003</v>
      </c>
      <c r="K237" s="6">
        <v>38.5</v>
      </c>
      <c r="L237" s="6">
        <v>37.313518999999999</v>
      </c>
      <c r="M237" s="6">
        <f t="shared" si="58"/>
        <v>1.0097036329829081</v>
      </c>
      <c r="N237" s="7">
        <f>P236*M237</f>
        <v>2.4128275981036231</v>
      </c>
      <c r="O237" s="6">
        <f t="shared" si="45"/>
        <v>9.7036329829081058E-3</v>
      </c>
      <c r="R237" s="6">
        <f t="shared" si="46"/>
        <v>4.4425424908139268</v>
      </c>
      <c r="S237" s="6">
        <f t="shared" si="59"/>
        <v>-7.0457562699198784E-2</v>
      </c>
      <c r="W237" s="6">
        <f t="shared" ref="W237" si="65">F237/R237</f>
        <v>0.4568813684747528</v>
      </c>
      <c r="X237" s="6">
        <f t="shared" ref="X237" si="66">N237/R237</f>
        <v>0.5431186315252472</v>
      </c>
      <c r="Y237" s="7">
        <f t="shared" si="64"/>
        <v>-7.0457562699198784E-2</v>
      </c>
      <c r="Z237" s="6">
        <f t="shared" si="53"/>
        <v>0</v>
      </c>
      <c r="AB237" s="6">
        <f t="shared" si="54"/>
        <v>-0.16324714561961487</v>
      </c>
      <c r="AC237" s="6">
        <f t="shared" si="55"/>
        <v>9.6568551031826124E-3</v>
      </c>
      <c r="AD237" s="6">
        <f t="shared" si="56"/>
        <v>-7.3062816810341533E-2</v>
      </c>
    </row>
    <row r="238" spans="1:30" x14ac:dyDescent="0.3">
      <c r="A238" s="1">
        <v>44167</v>
      </c>
      <c r="B238">
        <v>399</v>
      </c>
      <c r="C238">
        <v>412.85998499999999</v>
      </c>
      <c r="D238">
        <v>412.85998499999999</v>
      </c>
      <c r="E238">
        <f t="shared" si="57"/>
        <v>1.016120664104357</v>
      </c>
      <c r="F238">
        <f t="shared" si="49"/>
        <v>2.0624352447232974</v>
      </c>
      <c r="G238">
        <f t="shared" si="50"/>
        <v>1.6120664104356974E-2</v>
      </c>
      <c r="J238">
        <v>38.389999000000003</v>
      </c>
      <c r="K238">
        <v>39.939999</v>
      </c>
      <c r="L238">
        <v>38.709141000000002</v>
      </c>
      <c r="M238">
        <f t="shared" si="58"/>
        <v>1.0374025832299549</v>
      </c>
      <c r="N238">
        <f t="shared" si="51"/>
        <v>2.5030735831612261</v>
      </c>
      <c r="O238">
        <f t="shared" si="45"/>
        <v>3.7402583229954933E-2</v>
      </c>
      <c r="R238">
        <f t="shared" si="46"/>
        <v>4.5655088278845231</v>
      </c>
      <c r="S238">
        <f t="shared" si="59"/>
        <v>2.7679270896082686E-2</v>
      </c>
      <c r="W238">
        <f t="shared" ref="W238:W256" si="67">F238/R238</f>
        <v>0.45174269122571137</v>
      </c>
      <c r="X238">
        <f t="shared" ref="X238:X256" si="68">N238/R238</f>
        <v>0.5482573087742888</v>
      </c>
      <c r="Y238">
        <f t="shared" si="52"/>
        <v>2.7679270896082721E-2</v>
      </c>
      <c r="Z238">
        <f t="shared" si="53"/>
        <v>3.4694469519536142E-17</v>
      </c>
      <c r="AB238">
        <f t="shared" si="54"/>
        <v>1.5992105986659736E-2</v>
      </c>
      <c r="AC238">
        <f t="shared" si="55"/>
        <v>3.6720073032269658E-2</v>
      </c>
      <c r="AD238">
        <f t="shared" si="56"/>
        <v>2.7303125061192465E-2</v>
      </c>
    </row>
    <row r="239" spans="1:30" x14ac:dyDescent="0.3">
      <c r="A239" s="1">
        <v>44168</v>
      </c>
      <c r="B239">
        <v>413</v>
      </c>
      <c r="C239">
        <v>413.540009</v>
      </c>
      <c r="D239">
        <v>413.540009</v>
      </c>
      <c r="E239">
        <f t="shared" si="57"/>
        <v>1.0016471056162055</v>
      </c>
      <c r="F239">
        <f t="shared" si="49"/>
        <v>2.0658322933979414</v>
      </c>
      <c r="G239">
        <f t="shared" si="50"/>
        <v>1.6471056162055131E-3</v>
      </c>
      <c r="J239">
        <v>40.07</v>
      </c>
      <c r="K239">
        <v>40.209999000000003</v>
      </c>
      <c r="L239">
        <v>38.970821000000001</v>
      </c>
      <c r="M239">
        <f t="shared" si="58"/>
        <v>1.0067601603455887</v>
      </c>
      <c r="N239">
        <f t="shared" si="51"/>
        <v>2.519994761940203</v>
      </c>
      <c r="O239">
        <f t="shared" si="45"/>
        <v>6.7601603455886838E-3</v>
      </c>
      <c r="R239">
        <f t="shared" si="46"/>
        <v>4.5858270553381448</v>
      </c>
      <c r="S239">
        <f t="shared" si="59"/>
        <v>4.4503752417528464E-3</v>
      </c>
      <c r="W239">
        <f t="shared" si="67"/>
        <v>0.45048194545261</v>
      </c>
      <c r="X239">
        <f t="shared" si="68"/>
        <v>0.54951805454738989</v>
      </c>
      <c r="Y239">
        <f t="shared" si="52"/>
        <v>4.4503752417527796E-3</v>
      </c>
      <c r="Z239">
        <f t="shared" si="53"/>
        <v>6.6786853825107073E-17</v>
      </c>
      <c r="AB239">
        <f t="shared" si="54"/>
        <v>1.6457506254212875E-3</v>
      </c>
      <c r="AC239">
        <f t="shared" si="55"/>
        <v>6.7374129215832298E-3</v>
      </c>
      <c r="AD239">
        <f t="shared" si="56"/>
        <v>4.4405016052763658E-3</v>
      </c>
    </row>
    <row r="240" spans="1:30" x14ac:dyDescent="0.3">
      <c r="A240" s="1">
        <v>44169</v>
      </c>
      <c r="B240">
        <v>409.26001000000002</v>
      </c>
      <c r="C240">
        <v>410.01001000000002</v>
      </c>
      <c r="D240">
        <v>410.01001000000002</v>
      </c>
      <c r="E240">
        <f t="shared" si="57"/>
        <v>0.99146394805055016</v>
      </c>
      <c r="F240">
        <f t="shared" si="49"/>
        <v>2.0481982416226456</v>
      </c>
      <c r="G240">
        <f t="shared" si="50"/>
        <v>-8.536051949449841E-3</v>
      </c>
      <c r="J240">
        <v>40.770000000000003</v>
      </c>
      <c r="K240">
        <v>41.68</v>
      </c>
      <c r="L240">
        <v>40.395519</v>
      </c>
      <c r="M240">
        <f t="shared" si="58"/>
        <v>1.0365580699467429</v>
      </c>
      <c r="N240">
        <f t="shared" si="51"/>
        <v>2.6121209067126387</v>
      </c>
      <c r="O240">
        <f t="shared" si="45"/>
        <v>3.6558069946742933E-2</v>
      </c>
      <c r="R240">
        <f t="shared" si="46"/>
        <v>4.6603191483352848</v>
      </c>
      <c r="S240">
        <f t="shared" si="59"/>
        <v>1.6243982186468831E-2</v>
      </c>
      <c r="W240">
        <f t="shared" si="67"/>
        <v>0.43949741990401742</v>
      </c>
      <c r="X240">
        <f t="shared" si="68"/>
        <v>0.56050258009598242</v>
      </c>
      <c r="Y240">
        <f t="shared" si="52"/>
        <v>1.6243982186468869E-2</v>
      </c>
      <c r="Z240">
        <f t="shared" si="53"/>
        <v>3.8163916471489756E-17</v>
      </c>
      <c r="AB240">
        <f t="shared" si="54"/>
        <v>-8.5726927014679512E-3</v>
      </c>
      <c r="AC240">
        <f t="shared" si="55"/>
        <v>3.590567635739076E-2</v>
      </c>
      <c r="AD240">
        <f t="shared" si="56"/>
        <v>1.6113460274620076E-2</v>
      </c>
    </row>
    <row r="241" spans="1:30" x14ac:dyDescent="0.3">
      <c r="A241" s="1">
        <v>44172</v>
      </c>
      <c r="B241">
        <v>411</v>
      </c>
      <c r="C241">
        <v>407.85000600000001</v>
      </c>
      <c r="D241">
        <v>407.85000600000001</v>
      </c>
      <c r="E241">
        <f t="shared" si="57"/>
        <v>0.99473182618151201</v>
      </c>
      <c r="F241">
        <f t="shared" si="49"/>
        <v>2.037407977271056</v>
      </c>
      <c r="G241">
        <f t="shared" si="50"/>
        <v>-5.2681738184879867E-3</v>
      </c>
      <c r="J241">
        <v>41.419998</v>
      </c>
      <c r="K241">
        <v>40.900002000000001</v>
      </c>
      <c r="L241">
        <v>39.639557000000003</v>
      </c>
      <c r="M241">
        <f t="shared" si="58"/>
        <v>0.98128599362716451</v>
      </c>
      <c r="N241">
        <f t="shared" si="51"/>
        <v>2.5632376594178017</v>
      </c>
      <c r="O241">
        <f t="shared" si="45"/>
        <v>-1.871400637283549E-2</v>
      </c>
      <c r="R241">
        <f t="shared" si="46"/>
        <v>4.6006456366888582</v>
      </c>
      <c r="S241">
        <f t="shared" si="59"/>
        <v>-1.2804597656738359E-2</v>
      </c>
      <c r="W241">
        <f t="shared" si="67"/>
        <v>0.44285262073290305</v>
      </c>
      <c r="X241">
        <f t="shared" si="68"/>
        <v>0.5571473792670969</v>
      </c>
      <c r="Y241">
        <f t="shared" si="52"/>
        <v>-1.2804597656738314E-2</v>
      </c>
      <c r="Z241">
        <f t="shared" si="53"/>
        <v>4.5102810375396984E-17</v>
      </c>
      <c r="AB241">
        <f t="shared" si="54"/>
        <v>-5.2820995765872755E-3</v>
      </c>
      <c r="AC241">
        <f t="shared" si="55"/>
        <v>-1.8891329154785339E-2</v>
      </c>
      <c r="AD241">
        <f t="shared" si="56"/>
        <v>-1.2887283111650492E-2</v>
      </c>
    </row>
    <row r="242" spans="1:30" x14ac:dyDescent="0.3">
      <c r="A242" s="1">
        <v>44173</v>
      </c>
      <c r="B242">
        <v>408.86999500000002</v>
      </c>
      <c r="C242">
        <v>412</v>
      </c>
      <c r="D242">
        <v>412</v>
      </c>
      <c r="E242">
        <f t="shared" si="57"/>
        <v>1.0101752946890969</v>
      </c>
      <c r="F242">
        <f t="shared" si="49"/>
        <v>2.0581392038417059</v>
      </c>
      <c r="G242">
        <f t="shared" si="50"/>
        <v>1.0175294689096948E-2</v>
      </c>
      <c r="J242">
        <v>40.529998999999997</v>
      </c>
      <c r="K242">
        <v>42.240001999999997</v>
      </c>
      <c r="L242">
        <v>40.938259000000002</v>
      </c>
      <c r="M242">
        <f t="shared" si="58"/>
        <v>1.0327627778484003</v>
      </c>
      <c r="N242">
        <f t="shared" si="51"/>
        <v>2.6472164454259608</v>
      </c>
      <c r="O242">
        <f t="shared" si="45"/>
        <v>3.2762777848400315E-2</v>
      </c>
      <c r="R242">
        <f t="shared" si="46"/>
        <v>4.7053556492676663</v>
      </c>
      <c r="S242">
        <f t="shared" si="59"/>
        <v>2.2759851735542291E-2</v>
      </c>
      <c r="W242">
        <f t="shared" si="67"/>
        <v>0.43740353700193335</v>
      </c>
      <c r="X242">
        <f t="shared" si="68"/>
        <v>0.56259646299806676</v>
      </c>
      <c r="Y242">
        <f t="shared" si="52"/>
        <v>2.2759851735542506E-2</v>
      </c>
      <c r="Z242">
        <f t="shared" si="53"/>
        <v>2.1510571102112408E-16</v>
      </c>
      <c r="AB242">
        <f t="shared" si="54"/>
        <v>1.0123874891646069E-2</v>
      </c>
      <c r="AC242">
        <f t="shared" si="55"/>
        <v>3.2237519862495838E-2</v>
      </c>
      <c r="AD242">
        <f t="shared" si="56"/>
        <v>2.2504710375005909E-2</v>
      </c>
    </row>
    <row r="243" spans="1:30" x14ac:dyDescent="0.3">
      <c r="A243" s="1">
        <v>44174</v>
      </c>
      <c r="B243">
        <v>406.74798600000003</v>
      </c>
      <c r="C243">
        <v>385.35998499999999</v>
      </c>
      <c r="D243">
        <v>385.35998499999999</v>
      </c>
      <c r="E243">
        <f t="shared" si="57"/>
        <v>0.93533976941747576</v>
      </c>
      <c r="F243">
        <f t="shared" si="49"/>
        <v>1.9250594483503682</v>
      </c>
      <c r="G243">
        <f t="shared" si="50"/>
        <v>-6.4660230582524236E-2</v>
      </c>
      <c r="J243">
        <v>42.709999000000003</v>
      </c>
      <c r="K243">
        <v>42.799999</v>
      </c>
      <c r="L243">
        <v>41.481003000000001</v>
      </c>
      <c r="M243">
        <f t="shared" si="58"/>
        <v>1.0132576228998893</v>
      </c>
      <c r="N243">
        <f t="shared" si="51"/>
        <v>2.6823122427938038</v>
      </c>
      <c r="O243">
        <f t="shared" si="45"/>
        <v>1.3257622899889299E-2</v>
      </c>
      <c r="R243">
        <f t="shared" si="46"/>
        <v>4.6073716911441718</v>
      </c>
      <c r="S243">
        <f t="shared" si="59"/>
        <v>-2.0823921808916679E-2</v>
      </c>
      <c r="W243">
        <f t="shared" si="67"/>
        <v>0.41782160793550144</v>
      </c>
      <c r="X243">
        <f t="shared" si="68"/>
        <v>0.58217839206449862</v>
      </c>
      <c r="Y243">
        <f t="shared" si="52"/>
        <v>-2.082392180891679E-2</v>
      </c>
      <c r="Z243">
        <f t="shared" si="53"/>
        <v>1.1102230246251565E-16</v>
      </c>
      <c r="AB243">
        <f t="shared" si="54"/>
        <v>-6.6845425952203649E-2</v>
      </c>
      <c r="AC243">
        <f t="shared" si="55"/>
        <v>1.3170509715242217E-2</v>
      </c>
      <c r="AD243">
        <f t="shared" si="56"/>
        <v>-2.1043797474408096E-2</v>
      </c>
    </row>
    <row r="244" spans="1:30" x14ac:dyDescent="0.3">
      <c r="A244" s="1">
        <v>44175</v>
      </c>
      <c r="B244">
        <v>382.73001099999999</v>
      </c>
      <c r="C244">
        <v>397.959991</v>
      </c>
      <c r="D244">
        <v>397.959991</v>
      </c>
      <c r="E244">
        <f t="shared" si="57"/>
        <v>1.0326967160329321</v>
      </c>
      <c r="F244">
        <f t="shared" si="49"/>
        <v>1.9880025704795932</v>
      </c>
      <c r="G244">
        <f t="shared" si="50"/>
        <v>3.2696716032932116E-2</v>
      </c>
      <c r="J244">
        <v>43.200001</v>
      </c>
      <c r="K244">
        <v>44.009998000000003</v>
      </c>
      <c r="L244">
        <v>42.653708999999999</v>
      </c>
      <c r="M244">
        <f t="shared" si="58"/>
        <v>1.0282709171714097</v>
      </c>
      <c r="N244">
        <f t="shared" si="51"/>
        <v>2.7581436700376858</v>
      </c>
      <c r="O244">
        <f t="shared" si="45"/>
        <v>2.8270917171409726E-2</v>
      </c>
      <c r="R244">
        <f t="shared" si="46"/>
        <v>4.7461462405172785</v>
      </c>
      <c r="S244">
        <f t="shared" si="59"/>
        <v>3.0120111568130215E-2</v>
      </c>
      <c r="W244">
        <f t="shared" si="67"/>
        <v>0.41886669093932566</v>
      </c>
      <c r="X244">
        <f t="shared" si="68"/>
        <v>0.58113330906067451</v>
      </c>
      <c r="Y244">
        <f t="shared" si="52"/>
        <v>3.0120111568130124E-2</v>
      </c>
      <c r="Z244">
        <f t="shared" si="53"/>
        <v>9.0205620750793969E-17</v>
      </c>
      <c r="AB244">
        <f t="shared" si="54"/>
        <v>3.2173551708497734E-2</v>
      </c>
      <c r="AC244">
        <f t="shared" si="55"/>
        <v>2.7878670417391182E-2</v>
      </c>
      <c r="AD244">
        <f t="shared" si="56"/>
        <v>2.9675408615698853E-2</v>
      </c>
    </row>
    <row r="245" spans="1:30" x14ac:dyDescent="0.3">
      <c r="A245" s="1">
        <v>44176</v>
      </c>
      <c r="B245">
        <v>395.35000600000001</v>
      </c>
      <c r="C245">
        <v>397.01001000000002</v>
      </c>
      <c r="D245">
        <v>397.01001000000002</v>
      </c>
      <c r="E245">
        <f t="shared" si="57"/>
        <v>0.99761287309909508</v>
      </c>
      <c r="F245">
        <f t="shared" si="49"/>
        <v>1.9832569560645332</v>
      </c>
      <c r="G245">
        <f t="shared" si="50"/>
        <v>-2.3871269009049234E-3</v>
      </c>
      <c r="J245">
        <v>43.700001</v>
      </c>
      <c r="K245">
        <v>43.799999</v>
      </c>
      <c r="L245">
        <v>42.450184</v>
      </c>
      <c r="M245">
        <f t="shared" si="58"/>
        <v>0.99522843371018455</v>
      </c>
      <c r="N245">
        <f t="shared" si="51"/>
        <v>2.7449830046792663</v>
      </c>
      <c r="O245">
        <f t="shared" si="45"/>
        <v>-4.7715662898154543E-3</v>
      </c>
      <c r="R245">
        <f t="shared" si="46"/>
        <v>4.7282399607437995</v>
      </c>
      <c r="S245">
        <f t="shared" si="59"/>
        <v>-3.7728040532369889E-3</v>
      </c>
      <c r="W245">
        <f t="shared" si="67"/>
        <v>0.41944930302406797</v>
      </c>
      <c r="X245">
        <f t="shared" si="68"/>
        <v>0.58055069697593198</v>
      </c>
      <c r="Y245">
        <f t="shared" si="52"/>
        <v>-3.7728040532371133E-3</v>
      </c>
      <c r="Z245">
        <f t="shared" si="53"/>
        <v>1.2446640940133591E-16</v>
      </c>
      <c r="AB245">
        <f t="shared" si="54"/>
        <v>-2.3899806307067961E-3</v>
      </c>
      <c r="AC245">
        <f t="shared" si="55"/>
        <v>-4.7829865550952019E-3</v>
      </c>
      <c r="AD245">
        <f t="shared" si="56"/>
        <v>-3.7799390300155048E-3</v>
      </c>
    </row>
    <row r="246" spans="1:30" x14ac:dyDescent="0.3">
      <c r="A246" s="1">
        <v>44179</v>
      </c>
      <c r="B246">
        <v>388.95001200000002</v>
      </c>
      <c r="C246">
        <v>395.98998999999998</v>
      </c>
      <c r="D246">
        <v>395.98998999999998</v>
      </c>
      <c r="E246">
        <f t="shared" si="57"/>
        <v>0.99743074488222594</v>
      </c>
      <c r="F246">
        <f t="shared" si="49"/>
        <v>1.9781614629803035</v>
      </c>
      <c r="G246">
        <f t="shared" si="50"/>
        <v>-2.5692551177740608E-3</v>
      </c>
      <c r="J246">
        <v>44.34</v>
      </c>
      <c r="K246">
        <v>42.220001000000003</v>
      </c>
      <c r="L246">
        <v>40.918877000000002</v>
      </c>
      <c r="M246">
        <f t="shared" si="58"/>
        <v>0.96392696436839953</v>
      </c>
      <c r="N246">
        <f t="shared" si="51"/>
        <v>2.6459631349433335</v>
      </c>
      <c r="O246">
        <f t="shared" si="45"/>
        <v>-3.607303563160047E-2</v>
      </c>
      <c r="R246">
        <f t="shared" si="46"/>
        <v>4.6241245979236369</v>
      </c>
      <c r="S246">
        <f t="shared" si="59"/>
        <v>-2.2019898246404601E-2</v>
      </c>
      <c r="W246">
        <f t="shared" si="67"/>
        <v>0.42779155731844987</v>
      </c>
      <c r="X246">
        <f t="shared" si="68"/>
        <v>0.57220844268155013</v>
      </c>
      <c r="Y246">
        <f t="shared" si="52"/>
        <v>-2.2019898246404632E-2</v>
      </c>
      <c r="Z246">
        <f t="shared" si="53"/>
        <v>3.1225022567582528E-17</v>
      </c>
      <c r="AB246">
        <f t="shared" si="54"/>
        <v>-2.572561317899361E-3</v>
      </c>
      <c r="AC246">
        <f t="shared" si="55"/>
        <v>-3.6739750345080306E-2</v>
      </c>
      <c r="AD246">
        <f t="shared" si="56"/>
        <v>-2.2265955009518865E-2</v>
      </c>
    </row>
    <row r="247" spans="1:30" x14ac:dyDescent="0.3">
      <c r="A247" s="1">
        <v>44180</v>
      </c>
      <c r="B247">
        <v>398.50500499999998</v>
      </c>
      <c r="C247">
        <v>399.42999300000002</v>
      </c>
      <c r="D247">
        <v>399.42999300000002</v>
      </c>
      <c r="E247">
        <f t="shared" si="57"/>
        <v>1.0086870958531049</v>
      </c>
      <c r="F247">
        <f t="shared" si="49"/>
        <v>1.9953459412221315</v>
      </c>
      <c r="G247">
        <f t="shared" si="50"/>
        <v>8.6870958531048981E-3</v>
      </c>
      <c r="J247">
        <v>42.439999</v>
      </c>
      <c r="K247">
        <v>43.040000999999997</v>
      </c>
      <c r="L247">
        <v>41.713603999999997</v>
      </c>
      <c r="M247">
        <f t="shared" si="58"/>
        <v>1.0194220139521424</v>
      </c>
      <c r="N247">
        <f t="shared" si="51"/>
        <v>2.6973530678670574</v>
      </c>
      <c r="O247">
        <f t="shared" si="45"/>
        <v>1.9422013952142381E-2</v>
      </c>
      <c r="R247">
        <f t="shared" si="46"/>
        <v>4.6926990090891891</v>
      </c>
      <c r="S247">
        <f t="shared" si="59"/>
        <v>1.4829706620869132E-2</v>
      </c>
      <c r="W247">
        <f t="shared" si="67"/>
        <v>0.42520219970583845</v>
      </c>
      <c r="X247">
        <f t="shared" si="68"/>
        <v>0.5747978002941615</v>
      </c>
      <c r="Y247">
        <f t="shared" si="52"/>
        <v>1.4829706620869123E-2</v>
      </c>
      <c r="Z247">
        <f t="shared" si="53"/>
        <v>8.6736173798840355E-18</v>
      </c>
      <c r="AB247">
        <f t="shared" si="54"/>
        <v>8.6495801477156024E-3</v>
      </c>
      <c r="AC247">
        <f t="shared" si="55"/>
        <v>1.9235813699603834E-2</v>
      </c>
      <c r="AD247">
        <f t="shared" si="56"/>
        <v>1.4720821689453191E-2</v>
      </c>
    </row>
    <row r="248" spans="1:30" x14ac:dyDescent="0.3">
      <c r="A248" s="1">
        <v>44181</v>
      </c>
      <c r="B248">
        <v>400.48599200000001</v>
      </c>
      <c r="C248">
        <v>404</v>
      </c>
      <c r="D248">
        <v>404</v>
      </c>
      <c r="E248">
        <f t="shared" si="57"/>
        <v>1.0114413215834794</v>
      </c>
      <c r="F248">
        <f t="shared" si="49"/>
        <v>2.0181753358059442</v>
      </c>
      <c r="G248">
        <f t="shared" si="50"/>
        <v>1.1441321583479436E-2</v>
      </c>
      <c r="J248">
        <v>43.75</v>
      </c>
      <c r="K248">
        <v>43.700001</v>
      </c>
      <c r="L248">
        <v>42.353268</v>
      </c>
      <c r="M248">
        <f t="shared" si="58"/>
        <v>1.0153346615650856</v>
      </c>
      <c r="N248">
        <f t="shared" si="51"/>
        <v>2.7387160642843442</v>
      </c>
      <c r="O248">
        <f t="shared" si="45"/>
        <v>1.5334661565085561E-2</v>
      </c>
      <c r="R248">
        <f t="shared" si="46"/>
        <v>4.7568914000902884</v>
      </c>
      <c r="S248">
        <f t="shared" si="59"/>
        <v>1.3679204840703951E-2</v>
      </c>
      <c r="W248">
        <f t="shared" si="67"/>
        <v>0.42426348765658978</v>
      </c>
      <c r="X248">
        <f t="shared" si="68"/>
        <v>0.57573651234341017</v>
      </c>
      <c r="Y248">
        <f t="shared" si="52"/>
        <v>1.3679204840703948E-2</v>
      </c>
      <c r="Z248">
        <f t="shared" si="53"/>
        <v>3.4694469519536142E-18</v>
      </c>
      <c r="AB248">
        <f t="shared" si="54"/>
        <v>1.1376364656220085E-2</v>
      </c>
      <c r="AC248">
        <f t="shared" si="55"/>
        <v>1.5218273977102776E-2</v>
      </c>
      <c r="AD248">
        <f t="shared" si="56"/>
        <v>1.3586489079891441E-2</v>
      </c>
    </row>
    <row r="249" spans="1:30" x14ac:dyDescent="0.3">
      <c r="A249" s="1">
        <v>44182</v>
      </c>
      <c r="B249">
        <v>408.72000100000002</v>
      </c>
      <c r="C249">
        <v>401.61999500000002</v>
      </c>
      <c r="D249">
        <v>401.61999500000002</v>
      </c>
      <c r="E249">
        <f t="shared" si="57"/>
        <v>0.99410889851485151</v>
      </c>
      <c r="F249">
        <f t="shared" si="49"/>
        <v>2.0062860600878878</v>
      </c>
      <c r="G249">
        <f t="shared" si="50"/>
        <v>-5.8911014851484866E-3</v>
      </c>
      <c r="J249">
        <v>44</v>
      </c>
      <c r="K249">
        <v>43.48</v>
      </c>
      <c r="L249">
        <v>42.140045000000001</v>
      </c>
      <c r="M249">
        <f t="shared" si="58"/>
        <v>0.99496560690428892</v>
      </c>
      <c r="N249">
        <f t="shared" si="51"/>
        <v>2.7249282910391983</v>
      </c>
      <c r="O249">
        <f t="shared" si="45"/>
        <v>-5.0343930957110761E-3</v>
      </c>
      <c r="R249">
        <f t="shared" si="46"/>
        <v>4.7312143511270861</v>
      </c>
      <c r="S249">
        <f t="shared" si="59"/>
        <v>-5.3978631849184167E-3</v>
      </c>
      <c r="W249">
        <f t="shared" si="67"/>
        <v>0.42405308895166488</v>
      </c>
      <c r="X249">
        <f t="shared" si="68"/>
        <v>0.57594691104833506</v>
      </c>
      <c r="Y249">
        <f t="shared" si="52"/>
        <v>-5.3978631849184514E-3</v>
      </c>
      <c r="Z249">
        <f t="shared" si="53"/>
        <v>3.4694469519536142E-17</v>
      </c>
      <c r="AB249">
        <f t="shared" si="54"/>
        <v>-5.9085224764156468E-3</v>
      </c>
      <c r="AC249">
        <f t="shared" si="55"/>
        <v>-5.0471083462974107E-3</v>
      </c>
      <c r="AD249">
        <f t="shared" si="56"/>
        <v>-5.4124842872758754E-3</v>
      </c>
    </row>
    <row r="250" spans="1:30" x14ac:dyDescent="0.3">
      <c r="A250" s="1">
        <v>44183</v>
      </c>
      <c r="B250">
        <v>403.79998799999998</v>
      </c>
      <c r="C250">
        <v>406.01001000000002</v>
      </c>
      <c r="D250">
        <v>406.01001000000002</v>
      </c>
      <c r="E250">
        <f t="shared" si="57"/>
        <v>1.0109307680261288</v>
      </c>
      <c r="F250">
        <f t="shared" si="49"/>
        <v>2.0282163076047643</v>
      </c>
      <c r="G250">
        <f t="shared" si="50"/>
        <v>1.0930768026128801E-2</v>
      </c>
      <c r="J250">
        <v>43.27</v>
      </c>
      <c r="K250">
        <v>42.73</v>
      </c>
      <c r="L250">
        <v>41.413158000000003</v>
      </c>
      <c r="M250">
        <f t="shared" si="58"/>
        <v>0.98275068287183842</v>
      </c>
      <c r="N250">
        <f t="shared" si="51"/>
        <v>2.6779251387955636</v>
      </c>
      <c r="O250">
        <f t="shared" si="45"/>
        <v>-1.7249317128161579E-2</v>
      </c>
      <c r="R250">
        <f t="shared" si="46"/>
        <v>4.7061414464003279</v>
      </c>
      <c r="S250">
        <f t="shared" si="59"/>
        <v>-5.2994649715638609E-3</v>
      </c>
      <c r="W250">
        <f t="shared" si="67"/>
        <v>0.43097223717237038</v>
      </c>
      <c r="X250">
        <f t="shared" si="68"/>
        <v>0.56902776282762957</v>
      </c>
      <c r="Y250">
        <f t="shared" si="52"/>
        <v>-5.2994649715637889E-3</v>
      </c>
      <c r="Z250">
        <f t="shared" si="53"/>
        <v>7.1991024253037494E-17</v>
      </c>
      <c r="AB250">
        <f t="shared" si="54"/>
        <v>1.0871458985478295E-2</v>
      </c>
      <c r="AC250">
        <f t="shared" si="55"/>
        <v>-1.73998198222674E-2</v>
      </c>
      <c r="AD250">
        <f t="shared" si="56"/>
        <v>-5.3135569447175729E-3</v>
      </c>
    </row>
    <row r="251" spans="1:30" x14ac:dyDescent="0.3">
      <c r="A251" s="1">
        <v>44186</v>
      </c>
      <c r="B251">
        <v>418.07000699999998</v>
      </c>
      <c r="C251">
        <v>408.97000100000002</v>
      </c>
      <c r="D251">
        <v>408.97000100000002</v>
      </c>
      <c r="E251">
        <f t="shared" si="57"/>
        <v>1.0072904384795833</v>
      </c>
      <c r="F251">
        <f t="shared" si="49"/>
        <v>2.0430028938186444</v>
      </c>
      <c r="G251">
        <f t="shared" si="50"/>
        <v>7.2904384795833277E-3</v>
      </c>
      <c r="J251">
        <v>41.110000999999997</v>
      </c>
      <c r="K251">
        <v>41.950001</v>
      </c>
      <c r="L251">
        <v>40.657200000000003</v>
      </c>
      <c r="M251">
        <f t="shared" si="58"/>
        <v>0.98174594654191794</v>
      </c>
      <c r="N251">
        <f t="shared" si="51"/>
        <v>2.6290421501552474</v>
      </c>
      <c r="O251">
        <f t="shared" si="45"/>
        <v>-1.8254053458082065E-2</v>
      </c>
      <c r="R251">
        <f t="shared" si="46"/>
        <v>4.6720450439738919</v>
      </c>
      <c r="S251">
        <f t="shared" si="59"/>
        <v>-7.2450866202748987E-3</v>
      </c>
      <c r="W251">
        <f t="shared" si="67"/>
        <v>0.4372823623466035</v>
      </c>
      <c r="X251">
        <f t="shared" si="68"/>
        <v>0.56271763765339655</v>
      </c>
      <c r="Y251">
        <f t="shared" si="52"/>
        <v>-7.245086620274831E-3</v>
      </c>
      <c r="Z251">
        <f t="shared" si="53"/>
        <v>6.7654215563095477E-17</v>
      </c>
      <c r="AB251">
        <f t="shared" si="54"/>
        <v>7.2639916942884965E-3</v>
      </c>
      <c r="AC251">
        <f t="shared" si="55"/>
        <v>-1.8422714341385062E-2</v>
      </c>
      <c r="AD251">
        <f t="shared" si="56"/>
        <v>-7.2714597211500772E-3</v>
      </c>
    </row>
    <row r="252" spans="1:30" x14ac:dyDescent="0.3">
      <c r="A252" s="1">
        <v>44187</v>
      </c>
      <c r="B252">
        <v>408.5</v>
      </c>
      <c r="C252">
        <v>409</v>
      </c>
      <c r="D252">
        <v>409</v>
      </c>
      <c r="E252">
        <f t="shared" si="57"/>
        <v>1.0000733525684686</v>
      </c>
      <c r="F252">
        <f t="shared" si="49"/>
        <v>2.0431527533282949</v>
      </c>
      <c r="G252">
        <f t="shared" si="50"/>
        <v>7.3352568468632029E-5</v>
      </c>
      <c r="J252">
        <v>41.580002</v>
      </c>
      <c r="K252">
        <v>41.240001999999997</v>
      </c>
      <c r="L252">
        <v>39.969082</v>
      </c>
      <c r="M252">
        <f t="shared" si="58"/>
        <v>0.98307512568499544</v>
      </c>
      <c r="N252">
        <f t="shared" si="51"/>
        <v>2.5845459421950205</v>
      </c>
      <c r="O252">
        <f t="shared" si="45"/>
        <v>-1.6924874315004557E-2</v>
      </c>
      <c r="R252">
        <f t="shared" si="46"/>
        <v>4.6276986955233159</v>
      </c>
      <c r="S252">
        <f t="shared" si="59"/>
        <v>-9.491849507695771E-3</v>
      </c>
      <c r="W252">
        <f t="shared" si="67"/>
        <v>0.44150513846218509</v>
      </c>
      <c r="X252">
        <f t="shared" si="68"/>
        <v>0.5584948615378148</v>
      </c>
      <c r="Y252">
        <f t="shared" si="52"/>
        <v>-9.4918495076958594E-3</v>
      </c>
      <c r="Z252">
        <f t="shared" si="53"/>
        <v>8.8470897274817162E-17</v>
      </c>
      <c r="AB252">
        <f t="shared" si="54"/>
        <v>7.3349878300534575E-5</v>
      </c>
      <c r="AC252">
        <f t="shared" si="55"/>
        <v>-1.7069736846766125E-2</v>
      </c>
      <c r="AD252">
        <f t="shared" si="56"/>
        <v>-9.5371842127686055E-3</v>
      </c>
    </row>
    <row r="253" spans="1:30" x14ac:dyDescent="0.3">
      <c r="A253" s="1">
        <v>44188</v>
      </c>
      <c r="B253">
        <v>402</v>
      </c>
      <c r="C253">
        <v>383.88000499999998</v>
      </c>
      <c r="D253">
        <v>383.88000499999998</v>
      </c>
      <c r="E253">
        <f t="shared" si="57"/>
        <v>0.93858191931540336</v>
      </c>
      <c r="F253">
        <f t="shared" si="49"/>
        <v>1.917666232673422</v>
      </c>
      <c r="G253">
        <f t="shared" si="50"/>
        <v>-6.1418080684596643E-2</v>
      </c>
      <c r="J253">
        <v>41.509998000000003</v>
      </c>
      <c r="K253">
        <v>41.77</v>
      </c>
      <c r="L253">
        <v>40.482745999999999</v>
      </c>
      <c r="M253">
        <f t="shared" si="58"/>
        <v>1.0128515335928905</v>
      </c>
      <c r="N253">
        <f t="shared" si="51"/>
        <v>2.6177613211935085</v>
      </c>
      <c r="O253">
        <f t="shared" si="45"/>
        <v>1.2851533592890485E-2</v>
      </c>
      <c r="R253">
        <f t="shared" si="46"/>
        <v>4.5354275538669304</v>
      </c>
      <c r="S253">
        <f t="shared" si="59"/>
        <v>-1.9938882742224662E-2</v>
      </c>
      <c r="W253">
        <f t="shared" si="67"/>
        <v>0.42281928437781113</v>
      </c>
      <c r="X253">
        <f t="shared" si="68"/>
        <v>0.57718071562218887</v>
      </c>
      <c r="Y253">
        <f t="shared" si="52"/>
        <v>-1.9938882742224547E-2</v>
      </c>
      <c r="Z253">
        <f t="shared" si="53"/>
        <v>1.1449174941446927E-16</v>
      </c>
      <c r="AB253">
        <f t="shared" si="54"/>
        <v>-6.3385139268471336E-2</v>
      </c>
      <c r="AC253">
        <f t="shared" si="55"/>
        <v>1.2769653412771829E-2</v>
      </c>
      <c r="AD253">
        <f t="shared" si="56"/>
        <v>-2.0140344713356725E-2</v>
      </c>
    </row>
    <row r="254" spans="1:30" x14ac:dyDescent="0.3">
      <c r="A254" s="1">
        <v>44189</v>
      </c>
      <c r="B254">
        <v>383.88000499999998</v>
      </c>
      <c r="C254">
        <v>375.17001299999998</v>
      </c>
      <c r="D254">
        <v>375.17001299999998</v>
      </c>
      <c r="E254">
        <f t="shared" si="57"/>
        <v>0.97731063903680004</v>
      </c>
      <c r="F254">
        <f t="shared" si="49"/>
        <v>1.8741556113133548</v>
      </c>
      <c r="G254">
        <f t="shared" si="50"/>
        <v>-2.2689360963199956E-2</v>
      </c>
      <c r="J254">
        <v>41.650002000000001</v>
      </c>
      <c r="K254">
        <v>41.599997999999999</v>
      </c>
      <c r="L254">
        <v>40.317982000000001</v>
      </c>
      <c r="M254">
        <f t="shared" si="58"/>
        <v>0.99593001917409463</v>
      </c>
      <c r="N254">
        <f t="shared" si="51"/>
        <v>2.607107082809454</v>
      </c>
      <c r="O254">
        <f t="shared" si="45"/>
        <v>-4.0699808259053727E-3</v>
      </c>
      <c r="R254">
        <f t="shared" si="46"/>
        <v>4.4812626941228091</v>
      </c>
      <c r="S254">
        <f t="shared" si="59"/>
        <v>-1.1942613811114722E-2</v>
      </c>
      <c r="W254">
        <f t="shared" si="67"/>
        <v>0.41822043009692694</v>
      </c>
      <c r="X254">
        <f t="shared" si="68"/>
        <v>0.581779569903073</v>
      </c>
      <c r="Y254">
        <f t="shared" si="52"/>
        <v>-1.1942613811114699E-2</v>
      </c>
      <c r="Z254">
        <f t="shared" si="53"/>
        <v>2.2551405187698492E-17</v>
      </c>
      <c r="AB254">
        <f t="shared" si="54"/>
        <v>-2.2950725544139804E-2</v>
      </c>
      <c r="AC254">
        <f t="shared" si="55"/>
        <v>-4.0782857394188413E-3</v>
      </c>
      <c r="AD254">
        <f t="shared" si="56"/>
        <v>-1.2014499733901387E-2</v>
      </c>
    </row>
    <row r="255" spans="1:30" x14ac:dyDescent="0.3">
      <c r="A255" s="1">
        <v>44193</v>
      </c>
      <c r="B255">
        <v>370.39999399999999</v>
      </c>
      <c r="C255">
        <v>351.39001500000001</v>
      </c>
      <c r="D255">
        <v>351.39001500000001</v>
      </c>
      <c r="E255">
        <f t="shared" si="57"/>
        <v>0.93661540854545866</v>
      </c>
      <c r="F255">
        <f t="shared" si="49"/>
        <v>1.7553630235680218</v>
      </c>
      <c r="G255">
        <f t="shared" si="50"/>
        <v>-6.3384591454541339E-2</v>
      </c>
      <c r="J255">
        <v>41.689999</v>
      </c>
      <c r="K255">
        <v>41.740001999999997</v>
      </c>
      <c r="L255">
        <v>40.453671</v>
      </c>
      <c r="M255">
        <f t="shared" si="58"/>
        <v>1.0033654710198541</v>
      </c>
      <c r="N255">
        <f t="shared" si="51"/>
        <v>2.6158812261423057</v>
      </c>
      <c r="O255">
        <f t="shared" si="45"/>
        <v>3.3654710198540716E-3</v>
      </c>
      <c r="R255">
        <f t="shared" si="46"/>
        <v>4.3712442497103279</v>
      </c>
      <c r="S255">
        <f t="shared" si="59"/>
        <v>-2.455076881718421E-2</v>
      </c>
      <c r="W255">
        <f t="shared" si="67"/>
        <v>0.4015705651049688</v>
      </c>
      <c r="X255">
        <f t="shared" si="68"/>
        <v>0.59842943489503109</v>
      </c>
      <c r="Y255">
        <f t="shared" si="52"/>
        <v>-2.4550768817184321E-2</v>
      </c>
      <c r="Z255">
        <f t="shared" si="53"/>
        <v>1.1102230246251565E-16</v>
      </c>
      <c r="AB255">
        <f t="shared" si="54"/>
        <v>-6.5482530792686455E-2</v>
      </c>
      <c r="AC255">
        <f t="shared" si="55"/>
        <v>3.3598204964938858E-3</v>
      </c>
      <c r="AD255">
        <f t="shared" si="56"/>
        <v>-2.4857164165853242E-2</v>
      </c>
    </row>
    <row r="256" spans="1:30" x14ac:dyDescent="0.3">
      <c r="A256" s="1">
        <v>44194</v>
      </c>
      <c r="B256">
        <v>350.66000400000001</v>
      </c>
      <c r="C256">
        <v>353.75</v>
      </c>
      <c r="D256">
        <v>353.75</v>
      </c>
      <c r="E256">
        <f t="shared" si="57"/>
        <v>1.0067161413223424</v>
      </c>
      <c r="F256">
        <f t="shared" si="49"/>
        <v>1.767152289706319</v>
      </c>
      <c r="G256">
        <f t="shared" si="50"/>
        <v>6.7161413223424393E-3</v>
      </c>
      <c r="J256">
        <v>42.040000999999997</v>
      </c>
      <c r="K256">
        <v>41.27</v>
      </c>
      <c r="L256">
        <v>39.998157999999997</v>
      </c>
      <c r="M256">
        <f t="shared" si="58"/>
        <v>0.98873988469427154</v>
      </c>
      <c r="N256">
        <f t="shared" si="51"/>
        <v>2.5864261019098529</v>
      </c>
      <c r="O256">
        <f t="shared" si="45"/>
        <v>-1.1260115305728458E-2</v>
      </c>
      <c r="R256">
        <f t="shared" si="46"/>
        <v>4.3535783916161721</v>
      </c>
      <c r="S256">
        <f t="shared" si="59"/>
        <v>-4.0413797731221335E-3</v>
      </c>
      <c r="W256">
        <f t="shared" si="67"/>
        <v>0.40590799814455664</v>
      </c>
      <c r="X256">
        <f t="shared" si="68"/>
        <v>0.59409200185544331</v>
      </c>
      <c r="Y256">
        <f t="shared" si="52"/>
        <v>-4.0413797731220849E-3</v>
      </c>
      <c r="Z256">
        <f t="shared" si="53"/>
        <v>4.8572257327350599E-17</v>
      </c>
      <c r="AB256">
        <f t="shared" si="54"/>
        <v>6.6936885199433468E-3</v>
      </c>
      <c r="AC256">
        <f t="shared" si="55"/>
        <v>-1.1323990350306909E-2</v>
      </c>
      <c r="AD256">
        <f t="shared" si="56"/>
        <v>-4.0495682175459256E-3</v>
      </c>
    </row>
    <row r="257" spans="1:30" x14ac:dyDescent="0.3">
      <c r="A257" s="1">
        <v>44195</v>
      </c>
      <c r="B257">
        <v>358.42001299999998</v>
      </c>
      <c r="C257">
        <v>353.39999399999999</v>
      </c>
      <c r="D257">
        <v>353.39999399999999</v>
      </c>
      <c r="E257">
        <f t="shared" si="57"/>
        <v>0.99901058374558305</v>
      </c>
      <c r="F257">
        <f t="shared" si="49"/>
        <v>1.7654038405068535</v>
      </c>
      <c r="G257">
        <f t="shared" si="50"/>
        <v>-9.8941625441695269E-4</v>
      </c>
      <c r="J257">
        <v>41.330002</v>
      </c>
      <c r="K257">
        <v>41.599997999999999</v>
      </c>
      <c r="L257">
        <v>40.317982000000001</v>
      </c>
      <c r="M257">
        <f t="shared" si="58"/>
        <v>1.0079959682143365</v>
      </c>
      <c r="N257">
        <f t="shared" si="51"/>
        <v>2.607107082809454</v>
      </c>
      <c r="O257">
        <f t="shared" si="45"/>
        <v>7.9959682143364574E-3</v>
      </c>
      <c r="R257">
        <f t="shared" si="46"/>
        <v>4.3725109233163071</v>
      </c>
      <c r="S257">
        <f t="shared" si="59"/>
        <v>4.3487287920653817E-3</v>
      </c>
      <c r="Y257">
        <f t="shared" si="52"/>
        <v>4.3487287920655699E-3</v>
      </c>
      <c r="Z257">
        <f>ABS(Y257-S257)</f>
        <v>1.8821749714348357E-16</v>
      </c>
      <c r="AB257">
        <f t="shared" si="54"/>
        <v>-9.8990604978018608E-4</v>
      </c>
      <c r="AC257">
        <f t="shared" si="55"/>
        <v>7.9641698538130776E-3</v>
      </c>
      <c r="AD257">
        <f t="shared" si="56"/>
        <v>4.3393003954887831E-3</v>
      </c>
    </row>
    <row r="259" spans="1:30" x14ac:dyDescent="0.3">
      <c r="F259" t="s">
        <v>17</v>
      </c>
      <c r="G259" s="4">
        <f>AVERAGE(G7:G257)</f>
        <v>7.9309983956989648E-3</v>
      </c>
      <c r="N259" t="s">
        <v>17</v>
      </c>
      <c r="O259" s="4">
        <f>AVERAGE(O7:O257)</f>
        <v>-1.2616927367211624E-3</v>
      </c>
      <c r="R259" t="s">
        <v>17</v>
      </c>
      <c r="S259" s="4">
        <f>AVERAGE(S7:S257)</f>
        <v>3.5116015169855685E-3</v>
      </c>
      <c r="V259" t="s">
        <v>31</v>
      </c>
      <c r="W259">
        <f>MAX(W5:W256)</f>
        <v>0.71309770831545705</v>
      </c>
      <c r="X259">
        <f>MAX(X5:X256)</f>
        <v>0.59842943489503109</v>
      </c>
      <c r="Z259">
        <f>SUM(Z6:Z257)</f>
        <v>1.96487791315203E-14</v>
      </c>
      <c r="AA259" t="s">
        <v>17</v>
      </c>
      <c r="AB259">
        <f>AVERAGE(AB7:AB257)</f>
        <v>6.5241444250193738E-3</v>
      </c>
      <c r="AC259">
        <f t="shared" ref="AC259:AD259" si="69">AVERAGE(AC7:AC257)</f>
        <v>-1.8180736461346056E-3</v>
      </c>
      <c r="AD259">
        <f t="shared" si="69"/>
        <v>3.0999278881599945E-3</v>
      </c>
    </row>
    <row r="260" spans="1:30" x14ac:dyDescent="0.3">
      <c r="F260" t="s">
        <v>18</v>
      </c>
      <c r="G260">
        <f>_xlfn.STDEV.S(G7:G257)</f>
        <v>5.403001944115271E-2</v>
      </c>
      <c r="N260" t="s">
        <v>18</v>
      </c>
      <c r="O260">
        <f>_xlfn.STDEV.S(O7:O257)</f>
        <v>3.3395122796339383E-2</v>
      </c>
      <c r="R260" t="s">
        <v>18</v>
      </c>
      <c r="S260">
        <f>_xlfn.STDEV.S(S7:S257)</f>
        <v>2.8982292786516935E-2</v>
      </c>
      <c r="V260" t="s">
        <v>32</v>
      </c>
      <c r="W260">
        <f>MIN(W5:W256)</f>
        <v>0.4015705651049688</v>
      </c>
      <c r="X260">
        <f>MIN(X5:X256)</f>
        <v>0.28690229168454301</v>
      </c>
      <c r="AA260" t="s">
        <v>18</v>
      </c>
      <c r="AB260">
        <f>_xlfn.STDEV.S(AB7:AB257)</f>
        <v>5.2149822913443208E-2</v>
      </c>
      <c r="AC260">
        <f t="shared" ref="AC260:AD260" si="70">_xlfn.STDEV.S(AC7:AC257)</f>
        <v>3.3395064401539519E-2</v>
      </c>
      <c r="AD260">
        <f t="shared" si="70"/>
        <v>2.8378449980786213E-2</v>
      </c>
    </row>
    <row r="261" spans="1:30" x14ac:dyDescent="0.3">
      <c r="F261" t="s">
        <v>19</v>
      </c>
      <c r="G261">
        <f>SKEW(G7:G257)</f>
        <v>1.6030818562751967</v>
      </c>
      <c r="N261" t="s">
        <v>19</v>
      </c>
      <c r="O261">
        <f>SKEW(O7:O257)</f>
        <v>0.23796928768190384</v>
      </c>
      <c r="R261" t="s">
        <v>19</v>
      </c>
      <c r="S261">
        <f>SKEW(S7:S257)</f>
        <v>1.4723221826655022</v>
      </c>
      <c r="AA261" t="s">
        <v>19</v>
      </c>
      <c r="AB261">
        <f>SKEW(AB7:AB257)</f>
        <v>0.79939847062723979</v>
      </c>
      <c r="AC261">
        <f t="shared" ref="AC261:AD261" si="71">SKEW(AC7:AC257)</f>
        <v>9.585461860628806E-3</v>
      </c>
      <c r="AD261">
        <f t="shared" si="71"/>
        <v>1.1355669392427254</v>
      </c>
    </row>
    <row r="262" spans="1:30" x14ac:dyDescent="0.3">
      <c r="F262" t="s">
        <v>20</v>
      </c>
      <c r="G262">
        <f>KURT(G7:G257)</f>
        <v>12.780998926438622</v>
      </c>
      <c r="N262" t="s">
        <v>20</v>
      </c>
      <c r="O262">
        <f>KURT(O7:O257)</f>
        <v>2.6434464560076631</v>
      </c>
      <c r="R262" t="s">
        <v>20</v>
      </c>
      <c r="S262">
        <f>KURT(S7:S257)</f>
        <v>8.9184670563118136</v>
      </c>
      <c r="AA262" t="s">
        <v>20</v>
      </c>
      <c r="AB262">
        <f>KURT(AB7:AB257)</f>
        <v>8.0404842710802296</v>
      </c>
      <c r="AC262">
        <f t="shared" ref="AC262:AD262" si="72">KURT(AC7:AC257)</f>
        <v>2.6513201189687288</v>
      </c>
      <c r="AD262">
        <f t="shared" si="72"/>
        <v>6.859980951937052</v>
      </c>
    </row>
    <row r="263" spans="1:30" x14ac:dyDescent="0.3">
      <c r="F263" t="s">
        <v>21</v>
      </c>
      <c r="G263">
        <f>CORREL(G8:G257,G7:G256)</f>
        <v>1.2667330621356845E-2</v>
      </c>
      <c r="N263" t="s">
        <v>21</v>
      </c>
      <c r="O263">
        <f>CORREL(O8:O257,O7:O256)</f>
        <v>-0.10492929133363119</v>
      </c>
      <c r="R263" t="s">
        <v>21</v>
      </c>
      <c r="S263">
        <f>CORREL(S8:S257,S7:S256)</f>
        <v>-5.936609788977576E-2</v>
      </c>
      <c r="AA263" t="s">
        <v>21</v>
      </c>
      <c r="AB263">
        <f>CORREL(AB8:AB257,AB7:AB256)</f>
        <v>1.4723251284313123E-2</v>
      </c>
      <c r="AC263">
        <f t="shared" ref="AC263:AD263" si="73">CORREL(AC8:AC257,AC7:AC256)</f>
        <v>-0.10579920944668428</v>
      </c>
      <c r="AD263">
        <f t="shared" si="73"/>
        <v>-5.9568239360695815E-2</v>
      </c>
    </row>
    <row r="264" spans="1:30" x14ac:dyDescent="0.3">
      <c r="F264" t="s">
        <v>28</v>
      </c>
      <c r="G264">
        <f>COUNT(G7:G257)</f>
        <v>251</v>
      </c>
    </row>
    <row r="266" spans="1:30" x14ac:dyDescent="0.3">
      <c r="X266" t="s">
        <v>29</v>
      </c>
      <c r="AB266">
        <f>EXP(AB259)-1</f>
        <v>6.5454730136274009E-3</v>
      </c>
      <c r="AC266">
        <f t="shared" ref="AC266:AD266" si="74">EXP(AC259)-1</f>
        <v>-1.8164219513624458E-3</v>
      </c>
      <c r="AD266">
        <f t="shared" si="74"/>
        <v>3.1047376332860033E-3</v>
      </c>
    </row>
    <row r="267" spans="1:30" x14ac:dyDescent="0.3">
      <c r="X267" t="s">
        <v>30</v>
      </c>
      <c r="AB267" s="4">
        <f>EXP(AB259+AB260^2/2)-1</f>
        <v>7.915106580168807E-3</v>
      </c>
      <c r="AC267" s="4">
        <f t="shared" ref="AC267:AD267" si="75">EXP(AC259+AC260^2/2)-1</f>
        <v>-1.2596644388044309E-3</v>
      </c>
      <c r="AD267" s="4">
        <f t="shared" si="75"/>
        <v>3.5087373575570791E-3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9"/>
  <sheetViews>
    <sheetView workbookViewId="0">
      <selection activeCell="K13" sqref="K13"/>
    </sheetView>
  </sheetViews>
  <sheetFormatPr defaultRowHeight="14.4" x14ac:dyDescent="0.3"/>
  <sheetData>
    <row r="2" spans="2:11" x14ac:dyDescent="0.3">
      <c r="B2" t="s">
        <v>37</v>
      </c>
      <c r="H2" t="s">
        <v>27</v>
      </c>
    </row>
    <row r="3" spans="2:11" x14ac:dyDescent="0.3">
      <c r="C3" t="s">
        <v>7</v>
      </c>
      <c r="D3" t="s">
        <v>9</v>
      </c>
      <c r="E3" t="s">
        <v>16</v>
      </c>
      <c r="F3" t="s">
        <v>34</v>
      </c>
      <c r="H3" t="s">
        <v>7</v>
      </c>
      <c r="I3" t="s">
        <v>9</v>
      </c>
      <c r="J3" t="s">
        <v>16</v>
      </c>
      <c r="K3" t="s">
        <v>34</v>
      </c>
    </row>
    <row r="4" spans="2:11" x14ac:dyDescent="0.3">
      <c r="B4" t="s">
        <v>17</v>
      </c>
      <c r="C4">
        <v>7.9309983956989648E-3</v>
      </c>
      <c r="D4">
        <v>-1.2616927367211624E-3</v>
      </c>
      <c r="E4" s="4">
        <v>5.1646146641896084E-3</v>
      </c>
      <c r="F4" s="4">
        <v>3.5116015169855685E-3</v>
      </c>
      <c r="H4">
        <v>6.5241444250193738E-3</v>
      </c>
      <c r="I4">
        <v>-1.8180736461346056E-3</v>
      </c>
      <c r="J4">
        <v>4.2091129292223172E-3</v>
      </c>
      <c r="K4">
        <v>3.0999278881599945E-3</v>
      </c>
    </row>
    <row r="5" spans="2:11" x14ac:dyDescent="0.3">
      <c r="B5" t="s">
        <v>18</v>
      </c>
      <c r="C5">
        <v>5.403001944115271E-2</v>
      </c>
      <c r="D5">
        <v>3.3395122796339383E-2</v>
      </c>
      <c r="E5">
        <v>4.46335315261739E-2</v>
      </c>
      <c r="F5">
        <v>2.8982292786516935E-2</v>
      </c>
      <c r="H5">
        <v>5.2149822913443208E-2</v>
      </c>
      <c r="I5">
        <v>3.3395064401539519E-2</v>
      </c>
      <c r="J5">
        <v>4.3128554639166691E-2</v>
      </c>
      <c r="K5">
        <v>2.8378449980786213E-2</v>
      </c>
    </row>
    <row r="6" spans="2:11" x14ac:dyDescent="0.3">
      <c r="B6" t="s">
        <v>19</v>
      </c>
      <c r="C6">
        <v>1.6030818562751967</v>
      </c>
      <c r="D6">
        <v>0.23796928768190384</v>
      </c>
      <c r="E6">
        <v>1.9076484789336328</v>
      </c>
      <c r="F6">
        <v>1.4723221826655022</v>
      </c>
      <c r="H6">
        <v>0.79939847062723979</v>
      </c>
      <c r="I6">
        <v>9.585461860628806E-3</v>
      </c>
      <c r="J6">
        <v>1.0810720886728797</v>
      </c>
      <c r="K6">
        <v>1.1355669392427254</v>
      </c>
    </row>
    <row r="7" spans="2:11" x14ac:dyDescent="0.3">
      <c r="B7" t="s">
        <v>20</v>
      </c>
      <c r="C7">
        <v>12.780998926438622</v>
      </c>
      <c r="D7">
        <v>2.6434464560076631</v>
      </c>
      <c r="E7">
        <v>16.659622574618702</v>
      </c>
      <c r="F7">
        <v>8.9184670563118136</v>
      </c>
      <c r="H7">
        <v>8.0404842710802296</v>
      </c>
      <c r="I7">
        <v>2.6513201189687288</v>
      </c>
      <c r="J7">
        <v>10.924973804942045</v>
      </c>
      <c r="K7">
        <v>6.859980951937052</v>
      </c>
    </row>
    <row r="8" spans="2:11" x14ac:dyDescent="0.3">
      <c r="B8" t="s">
        <v>21</v>
      </c>
      <c r="C8">
        <v>1.2667330621356845E-2</v>
      </c>
      <c r="D8">
        <v>-0.10492929133363119</v>
      </c>
      <c r="E8">
        <v>2.1809094359142491E-2</v>
      </c>
      <c r="F8">
        <v>-5.936609788977576E-2</v>
      </c>
      <c r="H8">
        <v>1.4723251284313123E-2</v>
      </c>
      <c r="I8">
        <v>-0.10579920944668428</v>
      </c>
      <c r="J8">
        <v>2.5487465784665889E-2</v>
      </c>
      <c r="K8">
        <v>-5.9568239360695815E-2</v>
      </c>
    </row>
    <row r="9" spans="2:11" x14ac:dyDescent="0.3">
      <c r="B9" t="s">
        <v>28</v>
      </c>
      <c r="C9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BH</vt:lpstr>
      <vt:lpstr>RB</vt:lpstr>
      <vt:lpstr>ReturnSummary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Adlai</dc:creator>
  <cp:lastModifiedBy>Vineet</cp:lastModifiedBy>
  <dcterms:created xsi:type="dcterms:W3CDTF">2021-06-10T18:30:51Z</dcterms:created>
  <dcterms:modified xsi:type="dcterms:W3CDTF">2025-02-28T01:54:52Z</dcterms:modified>
</cp:coreProperties>
</file>