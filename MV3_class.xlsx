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Dropbox\A2Teaching\A1_BAFI519_2022\Class2\"/>
    </mc:Choice>
  </mc:AlternateContent>
  <bookViews>
    <workbookView xWindow="0" yWindow="0" windowWidth="25200" windowHeight="11490"/>
  </bookViews>
  <sheets>
    <sheet name="2-asset" sheetId="1" r:id="rId1"/>
    <sheet name="3-asset" sheetId="2" r:id="rId2"/>
    <sheet name="Sheet3" sheetId="3" r:id="rId3"/>
  </sheets>
  <definedNames>
    <definedName name="solver_adj" localSheetId="1" hidden="1">'3-asset'!$G$48:$H$48</definedName>
    <definedName name="solver_cvg" localSheetId="1" hidden="1">0.0001</definedName>
    <definedName name="solver_drv" localSheetId="1" hidden="1">1</definedName>
    <definedName name="solver_eng" localSheetId="1" hidden="1">1</definedName>
    <definedName name="solver_est" localSheetId="1" hidden="1">1</definedName>
    <definedName name="solver_itr" localSheetId="1" hidden="1">100</definedName>
    <definedName name="solver_lhs1" localSheetId="1" hidden="1">'3-asset'!$F$14</definedName>
    <definedName name="solver_lin" localSheetId="1" hidden="1">2</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2</definedName>
    <definedName name="solver_nod" localSheetId="1" hidden="1">2147483647</definedName>
    <definedName name="solver_num" localSheetId="1" hidden="1">0</definedName>
    <definedName name="solver_nwt" localSheetId="1" hidden="1">1</definedName>
    <definedName name="solver_opt" localSheetId="1" hidden="1">'3-asset'!$F$51</definedName>
    <definedName name="solver_pre" localSheetId="1" hidden="1">0.000001</definedName>
    <definedName name="solver_rbv" localSheetId="1" hidden="1">1</definedName>
    <definedName name="solver_rel1" localSheetId="1" hidden="1">2</definedName>
    <definedName name="solver_rhs1" localSheetId="1" hidden="1">'3-asset'!$F$15</definedName>
    <definedName name="solver_rlx" localSheetId="1" hidden="1">1</definedName>
    <definedName name="solver_rsd" localSheetId="1" hidden="1">0</definedName>
    <definedName name="solver_scl" localSheetId="1" hidden="1">2</definedName>
    <definedName name="solver_sho" localSheetId="1" hidden="1">2</definedName>
    <definedName name="solver_ssz" localSheetId="1" hidden="1">100</definedName>
    <definedName name="solver_tim" localSheetId="1" hidden="1">100</definedName>
    <definedName name="solver_tol" localSheetId="1" hidden="1">0.05</definedName>
    <definedName name="solver_typ" localSheetId="1" hidden="1">1</definedName>
    <definedName name="solver_val" localSheetId="1" hidden="1">0</definedName>
    <definedName name="solver_ver" localSheetId="1" hidden="1">3</definedName>
  </definedNames>
  <calcPr calcId="191029"/>
</workbook>
</file>

<file path=xl/calcChain.xml><?xml version="1.0" encoding="utf-8"?>
<calcChain xmlns="http://schemas.openxmlformats.org/spreadsheetml/2006/main">
  <c r="L51" i="2" l="1"/>
  <c r="L50" i="2"/>
  <c r="B58" i="2" l="1"/>
  <c r="B57" i="2"/>
  <c r="C56" i="2"/>
  <c r="D56" i="2" s="1"/>
  <c r="D58" i="2" s="1"/>
  <c r="I48" i="2"/>
  <c r="D57" i="2" l="1"/>
  <c r="C59" i="2"/>
  <c r="B59" i="2"/>
  <c r="B63" i="2" s="1"/>
  <c r="C58" i="2"/>
  <c r="D59" i="2"/>
  <c r="D63" i="2" s="1"/>
  <c r="C57" i="2"/>
  <c r="E56" i="2"/>
  <c r="F49" i="2"/>
  <c r="N18" i="2"/>
  <c r="N17" i="2"/>
  <c r="N15" i="2"/>
  <c r="E59" i="2" l="1"/>
  <c r="E57" i="2"/>
  <c r="E58" i="2"/>
  <c r="C63" i="2"/>
  <c r="F56" i="2"/>
  <c r="B26" i="2"/>
  <c r="B25" i="2"/>
  <c r="C24" i="2"/>
  <c r="C25" i="2" s="1"/>
  <c r="I15" i="2"/>
  <c r="B17" i="2"/>
  <c r="A16" i="2"/>
  <c r="A17" i="2"/>
  <c r="L52" i="2" s="1"/>
  <c r="I4" i="2"/>
  <c r="F5" i="2" s="1"/>
  <c r="C17" i="2"/>
  <c r="L49" i="2" s="1"/>
  <c r="B16" i="2"/>
  <c r="A15" i="2"/>
  <c r="B10" i="1"/>
  <c r="C10" i="1"/>
  <c r="A11" i="1"/>
  <c r="B11" i="1" s="1"/>
  <c r="C11" i="1" l="1"/>
  <c r="D24" i="2"/>
  <c r="D26" i="2" s="1"/>
  <c r="L14" i="2"/>
  <c r="L47" i="2"/>
  <c r="B61" i="2"/>
  <c r="B62" i="2" s="1"/>
  <c r="D61" i="2"/>
  <c r="D62" i="2" s="1"/>
  <c r="F57" i="2"/>
  <c r="F58" i="2"/>
  <c r="F59" i="2"/>
  <c r="E61" i="2"/>
  <c r="E62" i="2" s="1"/>
  <c r="E63" i="2"/>
  <c r="L4" i="2"/>
  <c r="L48" i="2"/>
  <c r="C61" i="2"/>
  <c r="C62" i="2" s="1"/>
  <c r="L17" i="2"/>
  <c r="G56" i="2"/>
  <c r="C26" i="2"/>
  <c r="L16" i="2"/>
  <c r="L7" i="2"/>
  <c r="L15" i="2"/>
  <c r="L6" i="2"/>
  <c r="L5" i="2"/>
  <c r="E24" i="2"/>
  <c r="F15" i="2"/>
  <c r="N16" i="2" s="1"/>
  <c r="L19" i="2"/>
  <c r="C27" i="2"/>
  <c r="D27" i="2"/>
  <c r="B27" i="2"/>
  <c r="B29" i="2" s="1"/>
  <c r="B30" i="2" s="1"/>
  <c r="L8" i="2"/>
  <c r="L18" i="2"/>
  <c r="A12" i="1"/>
  <c r="L3" i="2"/>
  <c r="D25" i="2"/>
  <c r="L54" i="2" l="1"/>
  <c r="F50" i="2" s="1"/>
  <c r="F51" i="2" s="1"/>
  <c r="G57" i="2"/>
  <c r="G58" i="2"/>
  <c r="G59" i="2"/>
  <c r="F61" i="2"/>
  <c r="F62" i="2" s="1"/>
  <c r="F63" i="2"/>
  <c r="H56" i="2"/>
  <c r="C29" i="2"/>
  <c r="C30" i="2" s="1"/>
  <c r="F24" i="2"/>
  <c r="E26" i="2"/>
  <c r="E27" i="2"/>
  <c r="L10" i="2"/>
  <c r="F6" i="2" s="1"/>
  <c r="E25" i="2"/>
  <c r="L21" i="2"/>
  <c r="N14" i="2" s="1"/>
  <c r="C31" i="2"/>
  <c r="B31" i="2"/>
  <c r="C12" i="1"/>
  <c r="B12" i="1"/>
  <c r="A13" i="1"/>
  <c r="D29" i="2"/>
  <c r="D30" i="2" s="1"/>
  <c r="D31" i="2"/>
  <c r="G63" i="2" l="1"/>
  <c r="G61" i="2"/>
  <c r="G62" i="2" s="1"/>
  <c r="H58" i="2"/>
  <c r="H57" i="2"/>
  <c r="H59" i="2"/>
  <c r="I56" i="2"/>
  <c r="E29" i="2"/>
  <c r="E30" i="2" s="1"/>
  <c r="E31" i="2"/>
  <c r="F25" i="2"/>
  <c r="G24" i="2"/>
  <c r="F26" i="2"/>
  <c r="F27" i="2"/>
  <c r="B13" i="1"/>
  <c r="A14" i="1"/>
  <c r="C13" i="1"/>
  <c r="H63" i="2" l="1"/>
  <c r="H61" i="2"/>
  <c r="H62" i="2" s="1"/>
  <c r="I59" i="2"/>
  <c r="I58" i="2"/>
  <c r="I57" i="2"/>
  <c r="J56" i="2"/>
  <c r="G25" i="2"/>
  <c r="G26" i="2"/>
  <c r="H24" i="2"/>
  <c r="G27" i="2"/>
  <c r="F29" i="2"/>
  <c r="F30" i="2" s="1"/>
  <c r="F31" i="2"/>
  <c r="C14" i="1"/>
  <c r="B14" i="1"/>
  <c r="A15" i="1"/>
  <c r="J59" i="2" l="1"/>
  <c r="J57" i="2"/>
  <c r="J58" i="2"/>
  <c r="I61" i="2"/>
  <c r="I62" i="2" s="1"/>
  <c r="I63" i="2"/>
  <c r="K56" i="2"/>
  <c r="H25" i="2"/>
  <c r="H27" i="2"/>
  <c r="I24" i="2"/>
  <c r="H26" i="2"/>
  <c r="G29" i="2"/>
  <c r="G30" i="2" s="1"/>
  <c r="G31" i="2"/>
  <c r="B15" i="1"/>
  <c r="A16" i="1"/>
  <c r="C15" i="1"/>
  <c r="K57" i="2" l="1"/>
  <c r="K58" i="2"/>
  <c r="K59" i="2"/>
  <c r="J63" i="2"/>
  <c r="J61" i="2"/>
  <c r="J62" i="2" s="1"/>
  <c r="L56" i="2"/>
  <c r="I25" i="2"/>
  <c r="I26" i="2"/>
  <c r="J24" i="2"/>
  <c r="I27" i="2"/>
  <c r="H29" i="2"/>
  <c r="H30" i="2" s="1"/>
  <c r="H31" i="2"/>
  <c r="C16" i="1"/>
  <c r="B16" i="1"/>
  <c r="A17" i="1"/>
  <c r="L58" i="2" l="1"/>
  <c r="L59" i="2"/>
  <c r="L57" i="2"/>
  <c r="K63" i="2"/>
  <c r="K61" i="2"/>
  <c r="K62" i="2" s="1"/>
  <c r="M56" i="2"/>
  <c r="J26" i="2"/>
  <c r="J27" i="2"/>
  <c r="J25" i="2"/>
  <c r="K24" i="2"/>
  <c r="I31" i="2"/>
  <c r="I29" i="2"/>
  <c r="I30" i="2" s="1"/>
  <c r="B17" i="1"/>
  <c r="A18" i="1"/>
  <c r="C17" i="1"/>
  <c r="L63" i="2" l="1"/>
  <c r="L61" i="2"/>
  <c r="L62" i="2" s="1"/>
  <c r="M59" i="2"/>
  <c r="M57" i="2"/>
  <c r="M58" i="2"/>
  <c r="N56" i="2"/>
  <c r="K25" i="2"/>
  <c r="L24" i="2"/>
  <c r="K27" i="2"/>
  <c r="K26" i="2"/>
  <c r="J31" i="2"/>
  <c r="J29" i="2"/>
  <c r="J30" i="2" s="1"/>
  <c r="C18" i="1"/>
  <c r="B18" i="1"/>
  <c r="A19" i="1"/>
  <c r="M61" i="2" l="1"/>
  <c r="M62" i="2" s="1"/>
  <c r="M63" i="2"/>
  <c r="N57" i="2"/>
  <c r="N58" i="2"/>
  <c r="N59" i="2"/>
  <c r="O56" i="2"/>
  <c r="L25" i="2"/>
  <c r="L27" i="2"/>
  <c r="M24" i="2"/>
  <c r="L26" i="2"/>
  <c r="K29" i="2"/>
  <c r="K30" i="2" s="1"/>
  <c r="K31" i="2"/>
  <c r="B19" i="1"/>
  <c r="A20" i="1"/>
  <c r="C19" i="1"/>
  <c r="N63" i="2" l="1"/>
  <c r="N61" i="2"/>
  <c r="N62" i="2" s="1"/>
  <c r="O57" i="2"/>
  <c r="O58" i="2"/>
  <c r="O59" i="2"/>
  <c r="P56" i="2"/>
  <c r="M26" i="2"/>
  <c r="M27" i="2"/>
  <c r="M25" i="2"/>
  <c r="N24" i="2"/>
  <c r="L31" i="2"/>
  <c r="L29" i="2"/>
  <c r="L30" i="2" s="1"/>
  <c r="C20" i="1"/>
  <c r="B20" i="1"/>
  <c r="O63" i="2" l="1"/>
  <c r="O61" i="2"/>
  <c r="O62" i="2" s="1"/>
  <c r="P58" i="2"/>
  <c r="P57" i="2"/>
  <c r="P59" i="2"/>
  <c r="Q56" i="2"/>
  <c r="N27" i="2"/>
  <c r="N25" i="2"/>
  <c r="N26" i="2"/>
  <c r="O24" i="2"/>
  <c r="M31" i="2"/>
  <c r="M29" i="2"/>
  <c r="M30" i="2" s="1"/>
  <c r="Q59" i="2" l="1"/>
  <c r="Q58" i="2"/>
  <c r="Q57" i="2"/>
  <c r="P63" i="2"/>
  <c r="P61" i="2"/>
  <c r="P62" i="2" s="1"/>
  <c r="N31" i="2"/>
  <c r="N29" i="2"/>
  <c r="N30" i="2" s="1"/>
  <c r="O25" i="2"/>
  <c r="O26" i="2"/>
  <c r="O27" i="2"/>
  <c r="P24" i="2"/>
  <c r="Q61" i="2" l="1"/>
  <c r="Q62" i="2" s="1"/>
  <c r="Q63" i="2"/>
  <c r="O31" i="2"/>
  <c r="O29" i="2"/>
  <c r="O30" i="2" s="1"/>
  <c r="Q24" i="2"/>
  <c r="P26" i="2"/>
  <c r="P25" i="2"/>
  <c r="P27" i="2"/>
  <c r="Q25" i="2" l="1"/>
  <c r="Q26" i="2"/>
  <c r="Q27" i="2"/>
  <c r="P31" i="2"/>
  <c r="P29" i="2"/>
  <c r="P30" i="2" s="1"/>
  <c r="Q31" i="2" l="1"/>
  <c r="Q29" i="2"/>
  <c r="Q30" i="2" s="1"/>
</calcChain>
</file>

<file path=xl/sharedStrings.xml><?xml version="1.0" encoding="utf-8"?>
<sst xmlns="http://schemas.openxmlformats.org/spreadsheetml/2006/main" count="88" uniqueCount="58">
  <si>
    <t>E(r)</t>
  </si>
  <si>
    <t>Asset 1 (stock)</t>
  </si>
  <si>
    <t>sigma</t>
  </si>
  <si>
    <t>Asset 2 (bond)</t>
  </si>
  <si>
    <t>correlation</t>
  </si>
  <si>
    <t>Weight in stock</t>
  </si>
  <si>
    <t>Mean Return</t>
  </si>
  <si>
    <t>Std Dev</t>
  </si>
  <si>
    <t>x2</t>
  </si>
  <si>
    <t>x1</t>
  </si>
  <si>
    <t>x3</t>
  </si>
  <si>
    <t>variance</t>
  </si>
  <si>
    <t>v2</t>
  </si>
  <si>
    <t>v3</t>
  </si>
  <si>
    <t>c12</t>
  </si>
  <si>
    <t>c23</t>
  </si>
  <si>
    <t>c13</t>
  </si>
  <si>
    <t>portfolio</t>
  </si>
  <si>
    <t>MVP</t>
  </si>
  <si>
    <t>mean(MVP)</t>
  </si>
  <si>
    <t>mu1</t>
  </si>
  <si>
    <t>mu2</t>
  </si>
  <si>
    <t>mu3</t>
  </si>
  <si>
    <t>std1</t>
  </si>
  <si>
    <t>std2</t>
  </si>
  <si>
    <t>std3</t>
  </si>
  <si>
    <t>correlations</t>
  </si>
  <si>
    <t>covariance</t>
  </si>
  <si>
    <t>std(MVP)</t>
  </si>
  <si>
    <t>v1</t>
  </si>
  <si>
    <t>Other Efficient Portfolio</t>
  </si>
  <si>
    <t>Target mean</t>
  </si>
  <si>
    <t>Actual Mean</t>
  </si>
  <si>
    <t>wt1</t>
  </si>
  <si>
    <t>wt2</t>
  </si>
  <si>
    <t>wt3</t>
  </si>
  <si>
    <t>mean</t>
  </si>
  <si>
    <t>var</t>
  </si>
  <si>
    <t>std</t>
  </si>
  <si>
    <t>I. Obtaining The "Efficient Frontier" in Risky Assets Only (All points Above MVP on blue curve below)</t>
  </si>
  <si>
    <t>II. The Efficient Frontier with a Risk-Free Asset</t>
  </si>
  <si>
    <t>MSR</t>
  </si>
  <si>
    <t>mean(MSR)</t>
  </si>
  <si>
    <t>std(MSR)</t>
  </si>
  <si>
    <t>1. First, solve for minimum variance portfolio ("MVP", columns E-L, rows 3-10, use solver unconstrained, minimize L10 by varying G4 and H4)</t>
  </si>
  <si>
    <r>
      <t xml:space="preserve">3.  Apply </t>
    </r>
    <r>
      <rPr>
        <b/>
        <sz val="14"/>
        <color theme="1"/>
        <rFont val="Calibri"/>
        <family val="2"/>
        <scheme val="minor"/>
      </rPr>
      <t>two-fund separation</t>
    </r>
    <r>
      <rPr>
        <sz val="14"/>
        <color theme="1"/>
        <rFont val="Calibri"/>
        <family val="2"/>
        <scheme val="minor"/>
      </rPr>
      <t>:  Any point on the efficient frontier can be obtained by taking linear combinations of any other two points on the efficient frontier.  That is what is being done in rows 24-31.  Why does two-fund separation work?  We have an objective function with only two degrees of freedom, mean and variance.  Two fund separation can break down with other objective functions.</t>
    </r>
  </si>
  <si>
    <t>Sharpe (MSR)</t>
  </si>
  <si>
    <t>5. Create a new and improved efficient frontier by varying weights in the risk-free asset and the tangency portfolio.  These portfolios do at least as good as the efficient frontier with risky assets only. Rows 56-63.</t>
  </si>
  <si>
    <t>2. Second, solve for any other efficient portfolio, that is, set a target mean in cell F14 -- I chose 60bp -- and use solver to minimize variance subject to maintaining that mean.  Minimize L21 by varying G15 and H15, subject to keeping F14 and F15 equal.</t>
  </si>
  <si>
    <t>Step 1) MVP</t>
  </si>
  <si>
    <t>Step 2) Other Efficient Portfolio</t>
  </si>
  <si>
    <t>Step 3) Take Linear Combinations of Portfolio 1 and Portfolio 2</t>
  </si>
  <si>
    <t>P1 wt</t>
  </si>
  <si>
    <t>4. The Maximal Sharpe Ratio / Tangency Portfolio: For this we need to find the efficient portfolio with maximal Sharpe ratio, unconstrained.  Note we could have used this as one of the two portfolios in Part I above because it is guaranteed to be an efficient portfolio.  I assume we are working in "excess returns", so that subtracting the "risk free rate" is already accounted for in the numerator of the Sharpe ratio.  Maximize F51 varying G48 and H48.</t>
  </si>
  <si>
    <t>Step 4) MSRP</t>
  </si>
  <si>
    <t>Step 5) Efficient Frontier with Riskless Asset</t>
  </si>
  <si>
    <t>MSRP wt</t>
  </si>
  <si>
    <t>Five steps total, three optimization of solver, see notes on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</si>
</sst>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4"/>
      <color theme="1"/>
      <name val="Calibri"/>
      <family val="2"/>
      <scheme val="minor"/>
    </font>
    <font>
      <b/>
      <i/>
      <sz val="14"/>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theme="9" tint="-0.249977111117893"/>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horizontal="center"/>
    </xf>
    <xf numFmtId="0" fontId="2" fillId="0" borderId="0" xfId="0" applyFont="1"/>
    <xf numFmtId="0" fontId="1" fillId="0" borderId="0" xfId="0" applyFont="1" applyAlignme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0" borderId="0" xfId="0" applyFont="1" applyAlignment="1">
      <alignment horizontal="left" vertical="top" wrapText="1"/>
    </xf>
    <xf numFmtId="0" fontId="1" fillId="0" borderId="0" xfId="0" applyFont="1" applyAlignment="1">
      <alignment horizontal="left" wrapText="1"/>
    </xf>
    <xf numFmtId="0" fontId="2"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xVal>
            <c:numRef>
              <c:f>'2-asset'!$C$10:$C$20</c:f>
              <c:numCache>
                <c:formatCode>General</c:formatCode>
                <c:ptCount val="11"/>
                <c:pt idx="0">
                  <c:v>0.1</c:v>
                </c:pt>
                <c:pt idx="1">
                  <c:v>9.5577193932443946E-2</c:v>
                </c:pt>
                <c:pt idx="2">
                  <c:v>9.3487967140161957E-2</c:v>
                </c:pt>
                <c:pt idx="3">
                  <c:v>9.3888231424390997E-2</c:v>
                </c:pt>
                <c:pt idx="4">
                  <c:v>9.6747092979582602E-2</c:v>
                </c:pt>
                <c:pt idx="5">
                  <c:v>0.10185774393731682</c:v>
                </c:pt>
                <c:pt idx="6">
                  <c:v>0.10890362712049585</c:v>
                </c:pt>
                <c:pt idx="7">
                  <c:v>0.11753722814495839</c:v>
                </c:pt>
                <c:pt idx="8">
                  <c:v>0.12743625857659191</c:v>
                </c:pt>
                <c:pt idx="9">
                  <c:v>0.13832931721077782</c:v>
                </c:pt>
                <c:pt idx="10">
                  <c:v>0.15</c:v>
                </c:pt>
              </c:numCache>
            </c:numRef>
          </c:xVal>
          <c:yVal>
            <c:numRef>
              <c:f>'2-asset'!$B$10:$B$20</c:f>
              <c:numCache>
                <c:formatCode>General</c:formatCode>
                <c:ptCount val="11"/>
                <c:pt idx="0">
                  <c:v>0.04</c:v>
                </c:pt>
                <c:pt idx="1">
                  <c:v>4.4000000000000004E-2</c:v>
                </c:pt>
                <c:pt idx="2">
                  <c:v>4.8000000000000001E-2</c:v>
                </c:pt>
                <c:pt idx="3">
                  <c:v>5.2000000000000005E-2</c:v>
                </c:pt>
                <c:pt idx="4">
                  <c:v>5.6000000000000001E-2</c:v>
                </c:pt>
                <c:pt idx="5">
                  <c:v>0.06</c:v>
                </c:pt>
                <c:pt idx="6">
                  <c:v>6.4000000000000001E-2</c:v>
                </c:pt>
                <c:pt idx="7">
                  <c:v>6.7999999999999991E-2</c:v>
                </c:pt>
                <c:pt idx="8">
                  <c:v>7.2000000000000008E-2</c:v>
                </c:pt>
                <c:pt idx="9">
                  <c:v>7.5999999999999998E-2</c:v>
                </c:pt>
                <c:pt idx="10">
                  <c:v>7.9999999999999988E-2</c:v>
                </c:pt>
              </c:numCache>
            </c:numRef>
          </c:yVal>
          <c:smooth val="1"/>
          <c:extLst>
            <c:ext xmlns:c16="http://schemas.microsoft.com/office/drawing/2014/chart" uri="{C3380CC4-5D6E-409C-BE32-E72D297353CC}">
              <c16:uniqueId val="{00000000-063F-4CD0-BD05-AF7E2FA4C261}"/>
            </c:ext>
          </c:extLst>
        </c:ser>
        <c:dLbls>
          <c:showLegendKey val="0"/>
          <c:showVal val="0"/>
          <c:showCatName val="0"/>
          <c:showSerName val="0"/>
          <c:showPercent val="0"/>
          <c:showBubbleSize val="0"/>
        </c:dLbls>
        <c:axId val="74022272"/>
        <c:axId val="80969728"/>
      </c:scatterChart>
      <c:valAx>
        <c:axId val="7402227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0969728"/>
        <c:crosses val="autoZero"/>
        <c:crossBetween val="midCat"/>
      </c:valAx>
      <c:valAx>
        <c:axId val="80969728"/>
        <c:scaling>
          <c:orientation val="minMax"/>
        </c:scaling>
        <c:delete val="0"/>
        <c:axPos val="l"/>
        <c:majorGridlines/>
        <c:numFmt formatCode="General" sourceLinked="1"/>
        <c:majorTickMark val="out"/>
        <c:minorTickMark val="none"/>
        <c:tickLblPos val="nextTo"/>
        <c:crossAx val="74022272"/>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xVal>
            <c:numRef>
              <c:f>'3-asset'!$B$30:$Q$30</c:f>
              <c:numCache>
                <c:formatCode>General</c:formatCode>
                <c:ptCount val="16"/>
                <c:pt idx="0">
                  <c:v>2.9140698822932572E-2</c:v>
                </c:pt>
                <c:pt idx="1">
                  <c:v>2.7114654710307069E-2</c:v>
                </c:pt>
                <c:pt idx="2">
                  <c:v>2.5163984704758537E-2</c:v>
                </c:pt>
                <c:pt idx="3">
                  <c:v>2.3307621207993252E-2</c:v>
                </c:pt>
                <c:pt idx="4">
                  <c:v>2.1569926762070906E-2</c:v>
                </c:pt>
                <c:pt idx="5">
                  <c:v>1.9981885012649324E-2</c:v>
                </c:pt>
                <c:pt idx="6">
                  <c:v>1.858190439078318E-2</c:v>
                </c:pt>
                <c:pt idx="7">
                  <c:v>1.7415397408888086E-2</c:v>
                </c:pt>
                <c:pt idx="8">
                  <c:v>1.6531860664263875E-2</c:v>
                </c:pt>
                <c:pt idx="9">
                  <c:v>1.5978304701300305E-2</c:v>
                </c:pt>
                <c:pt idx="10">
                  <c:v>1.5789473684210832E-2</c:v>
                </c:pt>
                <c:pt idx="11">
                  <c:v>1.5978303768329365E-2</c:v>
                </c:pt>
                <c:pt idx="12">
                  <c:v>1.6531858860801503E-2</c:v>
                </c:pt>
                <c:pt idx="13">
                  <c:v>1.7415394840937282E-2</c:v>
                </c:pt>
                <c:pt idx="14">
                  <c:v>1.8581901181791365E-2</c:v>
                </c:pt>
                <c:pt idx="15">
                  <c:v>1.9981881282446975E-2</c:v>
                </c:pt>
              </c:numCache>
            </c:numRef>
          </c:xVal>
          <c:yVal>
            <c:numRef>
              <c:f>'3-asset'!$B$31:$Q$31</c:f>
              <c:numCache>
                <c:formatCode>General</c:formatCode>
                <c:ptCount val="16"/>
                <c:pt idx="0">
                  <c:v>6.0000000000474977E-3</c:v>
                </c:pt>
                <c:pt idx="1">
                  <c:v>5.7152354924895352E-3</c:v>
                </c:pt>
                <c:pt idx="2">
                  <c:v>5.4304709849315718E-3</c:v>
                </c:pt>
                <c:pt idx="3">
                  <c:v>5.1457064773736084E-3</c:v>
                </c:pt>
                <c:pt idx="4">
                  <c:v>4.860941969815645E-3</c:v>
                </c:pt>
                <c:pt idx="5">
                  <c:v>4.5761774622576825E-3</c:v>
                </c:pt>
                <c:pt idx="6">
                  <c:v>4.2914129546997191E-3</c:v>
                </c:pt>
                <c:pt idx="7">
                  <c:v>4.0066484471417566E-3</c:v>
                </c:pt>
                <c:pt idx="8">
                  <c:v>3.7218839395837932E-3</c:v>
                </c:pt>
                <c:pt idx="9">
                  <c:v>3.4371194320258307E-3</c:v>
                </c:pt>
                <c:pt idx="10">
                  <c:v>3.1523549244678673E-3</c:v>
                </c:pt>
                <c:pt idx="11">
                  <c:v>2.8675904169099048E-3</c:v>
                </c:pt>
                <c:pt idx="12">
                  <c:v>2.5828259093519414E-3</c:v>
                </c:pt>
                <c:pt idx="13">
                  <c:v>2.298061401793978E-3</c:v>
                </c:pt>
                <c:pt idx="14">
                  <c:v>2.0132968942360146E-3</c:v>
                </c:pt>
                <c:pt idx="15">
                  <c:v>1.7285323866780514E-3</c:v>
                </c:pt>
              </c:numCache>
            </c:numRef>
          </c:yVal>
          <c:smooth val="1"/>
          <c:extLst>
            <c:ext xmlns:c16="http://schemas.microsoft.com/office/drawing/2014/chart" uri="{C3380CC4-5D6E-409C-BE32-E72D297353CC}">
              <c16:uniqueId val="{00000000-926F-4253-B11B-6C991DCD32C3}"/>
            </c:ext>
          </c:extLst>
        </c:ser>
        <c:dLbls>
          <c:showLegendKey val="0"/>
          <c:showVal val="0"/>
          <c:showCatName val="0"/>
          <c:showSerName val="0"/>
          <c:showPercent val="0"/>
          <c:showBubbleSize val="0"/>
        </c:dLbls>
        <c:axId val="80998400"/>
        <c:axId val="80999936"/>
      </c:scatterChart>
      <c:valAx>
        <c:axId val="8099840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0999936"/>
        <c:crosses val="autoZero"/>
        <c:crossBetween val="midCat"/>
      </c:valAx>
      <c:valAx>
        <c:axId val="80999936"/>
        <c:scaling>
          <c:orientation val="minMax"/>
        </c:scaling>
        <c:delete val="0"/>
        <c:axPos val="l"/>
        <c:majorGridlines/>
        <c:numFmt formatCode="General" sourceLinked="1"/>
        <c:majorTickMark val="out"/>
        <c:minorTickMark val="none"/>
        <c:tickLblPos val="nextTo"/>
        <c:crossAx val="80998400"/>
        <c:crosses val="autoZero"/>
        <c:crossBetween val="midCat"/>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efficient</a:t>
            </a:r>
            <a:r>
              <a:rPr lang="en-US" baseline="0"/>
              <a:t> frontier with riskless asset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with riskless asset</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'3-asset'!$B$62:$Q$62</c:f>
              <c:numCache>
                <c:formatCode>General</c:formatCode>
                <c:ptCount val="16"/>
                <c:pt idx="0">
                  <c:v>0</c:v>
                </c:pt>
                <c:pt idx="1">
                  <c:v>1.8271770997041266E-3</c:v>
                </c:pt>
                <c:pt idx="2">
                  <c:v>3.6543541994082532E-3</c:v>
                </c:pt>
                <c:pt idx="3">
                  <c:v>5.4815312991123803E-3</c:v>
                </c:pt>
                <c:pt idx="4">
                  <c:v>7.3087083988165064E-3</c:v>
                </c:pt>
                <c:pt idx="5">
                  <c:v>9.1358854985206326E-3</c:v>
                </c:pt>
                <c:pt idx="6">
                  <c:v>1.0963062598224759E-2</c:v>
                </c:pt>
                <c:pt idx="7">
                  <c:v>1.2790239697928885E-2</c:v>
                </c:pt>
                <c:pt idx="8">
                  <c:v>1.4617416797633011E-2</c:v>
                </c:pt>
                <c:pt idx="9">
                  <c:v>1.6444593897337136E-2</c:v>
                </c:pt>
                <c:pt idx="10">
                  <c:v>1.8271770997041262E-2</c:v>
                </c:pt>
                <c:pt idx="11">
                  <c:v>2.0098948096745388E-2</c:v>
                </c:pt>
                <c:pt idx="12">
                  <c:v>2.1926125196449518E-2</c:v>
                </c:pt>
                <c:pt idx="13">
                  <c:v>2.3753302296153647E-2</c:v>
                </c:pt>
                <c:pt idx="14">
                  <c:v>2.5580479395857773E-2</c:v>
                </c:pt>
                <c:pt idx="15">
                  <c:v>2.74076564955619E-2</c:v>
                </c:pt>
              </c:numCache>
            </c:numRef>
          </c:xVal>
          <c:yVal>
            <c:numRef>
              <c:f>'3-asset'!$B$63:$Q$63</c:f>
              <c:numCache>
                <c:formatCode>General</c:formatCode>
                <c:ptCount val="16"/>
                <c:pt idx="0">
                  <c:v>0</c:v>
                </c:pt>
                <c:pt idx="1">
                  <c:v>4.22144259732634E-4</c:v>
                </c:pt>
                <c:pt idx="2">
                  <c:v>8.4428851946526801E-4</c:v>
                </c:pt>
                <c:pt idx="3">
                  <c:v>1.2664327791979022E-3</c:v>
                </c:pt>
                <c:pt idx="4">
                  <c:v>1.688577038930536E-3</c:v>
                </c:pt>
                <c:pt idx="5">
                  <c:v>2.11072129866317E-3</c:v>
                </c:pt>
                <c:pt idx="6">
                  <c:v>2.532865558395804E-3</c:v>
                </c:pt>
                <c:pt idx="7">
                  <c:v>2.9550098181284376E-3</c:v>
                </c:pt>
                <c:pt idx="8">
                  <c:v>3.3771540778610716E-3</c:v>
                </c:pt>
                <c:pt idx="9">
                  <c:v>3.7992983375937052E-3</c:v>
                </c:pt>
                <c:pt idx="10">
                  <c:v>4.2214425973263383E-3</c:v>
                </c:pt>
                <c:pt idx="11">
                  <c:v>4.6435868570589732E-3</c:v>
                </c:pt>
                <c:pt idx="12">
                  <c:v>5.065731116791608E-3</c:v>
                </c:pt>
                <c:pt idx="13">
                  <c:v>5.487875376524242E-3</c:v>
                </c:pt>
                <c:pt idx="14">
                  <c:v>5.910019636256876E-3</c:v>
                </c:pt>
                <c:pt idx="15">
                  <c:v>6.33216389598951E-3</c:v>
                </c:pt>
              </c:numCache>
            </c:numRef>
          </c:yVal>
          <c:smooth val="0"/>
          <c:extLst>
            <c:ext xmlns:c16="http://schemas.microsoft.com/office/drawing/2014/chart" uri="{C3380CC4-5D6E-409C-BE32-E72D297353CC}">
              <c16:uniqueId val="{00000000-CCAB-49BB-AA14-1A3796A8D404}"/>
            </c:ext>
          </c:extLst>
        </c:ser>
        <c:ser>
          <c:idx val="1"/>
          <c:order val="1"/>
          <c:tx>
            <c:v>without riskless asset</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'3-asset'!$B$30:$Q$30</c:f>
              <c:numCache>
                <c:formatCode>General</c:formatCode>
                <c:ptCount val="16"/>
                <c:pt idx="0">
                  <c:v>2.9140698822932572E-2</c:v>
                </c:pt>
                <c:pt idx="1">
                  <c:v>2.7114654710307069E-2</c:v>
                </c:pt>
                <c:pt idx="2">
                  <c:v>2.5163984704758537E-2</c:v>
                </c:pt>
                <c:pt idx="3">
                  <c:v>2.3307621207993252E-2</c:v>
                </c:pt>
                <c:pt idx="4">
                  <c:v>2.1569926762070906E-2</c:v>
                </c:pt>
                <c:pt idx="5">
                  <c:v>1.9981885012649324E-2</c:v>
                </c:pt>
                <c:pt idx="6">
                  <c:v>1.858190439078318E-2</c:v>
                </c:pt>
                <c:pt idx="7">
                  <c:v>1.7415397408888086E-2</c:v>
                </c:pt>
                <c:pt idx="8">
                  <c:v>1.6531860664263875E-2</c:v>
                </c:pt>
                <c:pt idx="9">
                  <c:v>1.5978304701300305E-2</c:v>
                </c:pt>
                <c:pt idx="10">
                  <c:v>1.5789473684210832E-2</c:v>
                </c:pt>
                <c:pt idx="11">
                  <c:v>1.5978303768329365E-2</c:v>
                </c:pt>
                <c:pt idx="12">
                  <c:v>1.6531858860801503E-2</c:v>
                </c:pt>
                <c:pt idx="13">
                  <c:v>1.7415394840937282E-2</c:v>
                </c:pt>
                <c:pt idx="14">
                  <c:v>1.8581901181791365E-2</c:v>
                </c:pt>
                <c:pt idx="15">
                  <c:v>1.9981881282446975E-2</c:v>
                </c:pt>
              </c:numCache>
            </c:numRef>
          </c:xVal>
          <c:yVal>
            <c:numRef>
              <c:f>'3-asset'!$B$31:$Q$31</c:f>
              <c:numCache>
                <c:formatCode>General</c:formatCode>
                <c:ptCount val="16"/>
                <c:pt idx="0">
                  <c:v>6.0000000000474977E-3</c:v>
                </c:pt>
                <c:pt idx="1">
                  <c:v>5.7152354924895352E-3</c:v>
                </c:pt>
                <c:pt idx="2">
                  <c:v>5.4304709849315718E-3</c:v>
                </c:pt>
                <c:pt idx="3">
                  <c:v>5.1457064773736084E-3</c:v>
                </c:pt>
                <c:pt idx="4">
                  <c:v>4.860941969815645E-3</c:v>
                </c:pt>
                <c:pt idx="5">
                  <c:v>4.5761774622576825E-3</c:v>
                </c:pt>
                <c:pt idx="6">
                  <c:v>4.2914129546997191E-3</c:v>
                </c:pt>
                <c:pt idx="7">
                  <c:v>4.0066484471417566E-3</c:v>
                </c:pt>
                <c:pt idx="8">
                  <c:v>3.7218839395837932E-3</c:v>
                </c:pt>
                <c:pt idx="9">
                  <c:v>3.4371194320258307E-3</c:v>
                </c:pt>
                <c:pt idx="10">
                  <c:v>3.1523549244678673E-3</c:v>
                </c:pt>
                <c:pt idx="11">
                  <c:v>2.8675904169099048E-3</c:v>
                </c:pt>
                <c:pt idx="12">
                  <c:v>2.5828259093519414E-3</c:v>
                </c:pt>
                <c:pt idx="13">
                  <c:v>2.298061401793978E-3</c:v>
                </c:pt>
                <c:pt idx="14">
                  <c:v>2.0132968942360146E-3</c:v>
                </c:pt>
                <c:pt idx="15">
                  <c:v>1.7285323866780514E-3</c:v>
                </c:pt>
              </c:numCache>
            </c:numRef>
          </c:yVal>
          <c:smooth val="0"/>
          <c:extLst>
            <c:ext xmlns:c16="http://schemas.microsoft.com/office/drawing/2014/chart" uri="{C3380CC4-5D6E-409C-BE32-E72D297353CC}">
              <c16:uniqueId val="{00000000-9B09-4E0D-BB5E-7117F8D72D2D}"/>
            </c:ext>
          </c:extLst>
        </c:ser>
        <c:dLbls>
          <c:showLegendKey val="0"/>
          <c:showVal val="0"/>
          <c:showCatName val="0"/>
          <c:showSerName val="0"/>
          <c:showPercent val="0"/>
          <c:showBubbleSize val="0"/>
        </c:dLbls>
        <c:axId val="446829728"/>
        <c:axId val="446827232"/>
      </c:scatterChart>
      <c:valAx>
        <c:axId val="446829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27232"/>
        <c:crosses val="autoZero"/>
        <c:crossBetween val="midCat"/>
      </c:valAx>
      <c:valAx>
        <c:axId val="44682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2972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66675</xdr:colOff>
      <xdr:row>1</xdr:row>
      <xdr:rowOff>209550</xdr:rowOff>
    </xdr:from>
    <xdr:to>
      <xdr:col>14</xdr:col>
      <xdr:colOff>466725</xdr:colOff>
      <xdr:row>17</xdr:row>
      <xdr:rowOff>85725</xdr:rowOff>
    </xdr:to>
    <xdr:graphicFrame macro="">
      <xdr:nvGraphicFramePr>
        <xdr:cNvPr id="1030" name="Chart 2">
          <a:extLst>
            <a:ext uri="{FF2B5EF4-FFF2-40B4-BE49-F238E27FC236}">
              <a16:creationId xmlns:a16="http://schemas.microsoft.com/office/drawing/2014/main" id="{00000000-0008-0000-0000-000006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561975</xdr:colOff>
      <xdr:row>32</xdr:row>
      <xdr:rowOff>85725</xdr:rowOff>
    </xdr:from>
    <xdr:to>
      <xdr:col>10</xdr:col>
      <xdr:colOff>628650</xdr:colOff>
      <xdr:row>43</xdr:row>
      <xdr:rowOff>209550</xdr:rowOff>
    </xdr:to>
    <xdr:graphicFrame macro="">
      <xdr:nvGraphicFramePr>
        <xdr:cNvPr id="5122" name="Chart 4">
          <a:extLst>
            <a:ext uri="{FF2B5EF4-FFF2-40B4-BE49-F238E27FC236}">
              <a16:creationId xmlns:a16="http://schemas.microsoft.com/office/drawing/2014/main" id="{00000000-0008-0000-0100-0000021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438150</xdr:colOff>
      <xdr:row>64</xdr:row>
      <xdr:rowOff>0</xdr:rowOff>
    </xdr:from>
    <xdr:to>
      <xdr:col>10</xdr:col>
      <xdr:colOff>466725</xdr:colOff>
      <xdr:row>75</xdr:row>
      <xdr:rowOff>123825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tabSelected="1" workbookViewId="0">
      <selection activeCell="C31" sqref="C31"/>
    </sheetView>
  </sheetViews>
  <sheetFormatPr defaultRowHeight="15" x14ac:dyDescent="0.25"/>
  <cols>
    <col min="1" max="1" width="25.42578125" customWidth="1"/>
    <col min="2" max="2" width="16.5703125" customWidth="1"/>
    <col min="3" max="3" width="16.140625" customWidth="1"/>
  </cols>
  <sheetData>
    <row r="1" spans="1:5" ht="18.75" x14ac:dyDescent="0.3">
      <c r="A1" s="1" t="s">
        <v>1</v>
      </c>
      <c r="B1" s="1" t="s">
        <v>0</v>
      </c>
      <c r="C1" s="1">
        <v>0.08</v>
      </c>
      <c r="D1" s="1"/>
      <c r="E1" s="1"/>
    </row>
    <row r="2" spans="1:5" ht="18.75" x14ac:dyDescent="0.3">
      <c r="A2" s="1"/>
      <c r="B2" s="1" t="s">
        <v>2</v>
      </c>
      <c r="C2" s="1">
        <v>0.15</v>
      </c>
      <c r="D2" s="1"/>
      <c r="E2" s="1"/>
    </row>
    <row r="3" spans="1:5" ht="18.75" x14ac:dyDescent="0.3">
      <c r="A3" s="1"/>
      <c r="B3" s="1"/>
      <c r="C3" s="1"/>
      <c r="D3" s="1"/>
      <c r="E3" s="1"/>
    </row>
    <row r="4" spans="1:5" ht="18.75" x14ac:dyDescent="0.3">
      <c r="A4" s="1" t="s">
        <v>3</v>
      </c>
      <c r="B4" s="1" t="s">
        <v>0</v>
      </c>
      <c r="C4" s="1">
        <v>0.04</v>
      </c>
      <c r="D4" s="1"/>
      <c r="E4" s="1"/>
    </row>
    <row r="5" spans="1:5" ht="18.75" x14ac:dyDescent="0.3">
      <c r="A5" s="1"/>
      <c r="B5" s="1" t="s">
        <v>2</v>
      </c>
      <c r="C5" s="1">
        <v>0.1</v>
      </c>
      <c r="D5" s="1"/>
      <c r="E5" s="1"/>
    </row>
    <row r="6" spans="1:5" ht="18.75" x14ac:dyDescent="0.3">
      <c r="A6" s="1"/>
      <c r="B6" s="1"/>
      <c r="C6" s="1"/>
      <c r="D6" s="1"/>
      <c r="E6" s="1"/>
    </row>
    <row r="7" spans="1:5" ht="18.75" x14ac:dyDescent="0.3">
      <c r="A7" s="1" t="s">
        <v>4</v>
      </c>
      <c r="B7" s="1"/>
      <c r="C7" s="1">
        <v>0.3</v>
      </c>
      <c r="D7" s="1"/>
      <c r="E7" s="1"/>
    </row>
    <row r="8" spans="1:5" ht="18.75" x14ac:dyDescent="0.3">
      <c r="A8" s="1"/>
      <c r="B8" s="1"/>
      <c r="C8" s="1"/>
      <c r="D8" s="1"/>
      <c r="E8" s="1"/>
    </row>
    <row r="9" spans="1:5" ht="18.75" x14ac:dyDescent="0.3">
      <c r="A9" s="2" t="s">
        <v>5</v>
      </c>
      <c r="B9" s="2" t="s">
        <v>6</v>
      </c>
      <c r="C9" s="2" t="s">
        <v>7</v>
      </c>
      <c r="D9" s="1"/>
      <c r="E9" s="1"/>
    </row>
    <row r="10" spans="1:5" ht="18.75" x14ac:dyDescent="0.3">
      <c r="A10" s="2">
        <v>0</v>
      </c>
      <c r="B10" s="2">
        <f>A10*$C$1+(1-A10)*$C$4</f>
        <v>0.04</v>
      </c>
      <c r="C10" s="2">
        <f>SQRT((A10^2)*($C$2^2)+((1-A10)^2)*($C$5^2)+(2*A10*(1-A10)*$C$2*$C$5*$C$7))</f>
        <v>0.1</v>
      </c>
      <c r="D10" s="1"/>
      <c r="E10" s="1"/>
    </row>
    <row r="11" spans="1:5" ht="18.75" x14ac:dyDescent="0.3">
      <c r="A11" s="2">
        <f>A10+0.1</f>
        <v>0.1</v>
      </c>
      <c r="B11" s="2">
        <f t="shared" ref="B11:B20" si="0">A11*$C$1+(1-A11)*$C$4</f>
        <v>4.4000000000000004E-2</v>
      </c>
      <c r="C11" s="2">
        <f t="shared" ref="C11:C20" si="1">SQRT((A11^2)*($C$2^2)+((1-A11)^2)*($C$5^2)+(2*A11*(1-A11)*$C$2*$C$5*$C$7))</f>
        <v>9.5577193932443946E-2</v>
      </c>
      <c r="D11" s="1"/>
      <c r="E11" s="1"/>
    </row>
    <row r="12" spans="1:5" ht="18.75" x14ac:dyDescent="0.3">
      <c r="A12" s="2">
        <f t="shared" ref="A12:A20" si="2">A11+0.1</f>
        <v>0.2</v>
      </c>
      <c r="B12" s="2">
        <f t="shared" si="0"/>
        <v>4.8000000000000001E-2</v>
      </c>
      <c r="C12" s="2">
        <f t="shared" si="1"/>
        <v>9.3487967140161957E-2</v>
      </c>
      <c r="D12" s="1"/>
      <c r="E12" s="1"/>
    </row>
    <row r="13" spans="1:5" ht="18.75" x14ac:dyDescent="0.3">
      <c r="A13" s="2">
        <f t="shared" si="2"/>
        <v>0.30000000000000004</v>
      </c>
      <c r="B13" s="2">
        <f t="shared" si="0"/>
        <v>5.2000000000000005E-2</v>
      </c>
      <c r="C13" s="2">
        <f t="shared" si="1"/>
        <v>9.3888231424390997E-2</v>
      </c>
      <c r="D13" s="1"/>
      <c r="E13" s="1"/>
    </row>
    <row r="14" spans="1:5" ht="18.75" x14ac:dyDescent="0.3">
      <c r="A14" s="2">
        <f t="shared" si="2"/>
        <v>0.4</v>
      </c>
      <c r="B14" s="2">
        <f t="shared" si="0"/>
        <v>5.6000000000000001E-2</v>
      </c>
      <c r="C14" s="2">
        <f t="shared" si="1"/>
        <v>9.6747092979582602E-2</v>
      </c>
      <c r="D14" s="1"/>
      <c r="E14" s="1"/>
    </row>
    <row r="15" spans="1:5" ht="18.75" x14ac:dyDescent="0.3">
      <c r="A15" s="2">
        <f t="shared" si="2"/>
        <v>0.5</v>
      </c>
      <c r="B15" s="2">
        <f t="shared" si="0"/>
        <v>0.06</v>
      </c>
      <c r="C15" s="2">
        <f t="shared" si="1"/>
        <v>0.10185774393731682</v>
      </c>
      <c r="D15" s="1"/>
      <c r="E15" s="1"/>
    </row>
    <row r="16" spans="1:5" ht="18.75" x14ac:dyDescent="0.3">
      <c r="A16" s="2">
        <f t="shared" si="2"/>
        <v>0.6</v>
      </c>
      <c r="B16" s="2">
        <f t="shared" si="0"/>
        <v>6.4000000000000001E-2</v>
      </c>
      <c r="C16" s="2">
        <f t="shared" si="1"/>
        <v>0.10890362712049585</v>
      </c>
      <c r="D16" s="1"/>
      <c r="E16" s="1"/>
    </row>
    <row r="17" spans="1:5" ht="18.75" x14ac:dyDescent="0.3">
      <c r="A17" s="2">
        <f t="shared" si="2"/>
        <v>0.7</v>
      </c>
      <c r="B17" s="2">
        <f t="shared" si="0"/>
        <v>6.7999999999999991E-2</v>
      </c>
      <c r="C17" s="2">
        <f t="shared" si="1"/>
        <v>0.11753722814495839</v>
      </c>
      <c r="D17" s="1"/>
      <c r="E17" s="1"/>
    </row>
    <row r="18" spans="1:5" ht="18.75" x14ac:dyDescent="0.3">
      <c r="A18" s="2">
        <f t="shared" si="2"/>
        <v>0.79999999999999993</v>
      </c>
      <c r="B18" s="2">
        <f t="shared" si="0"/>
        <v>7.2000000000000008E-2</v>
      </c>
      <c r="C18" s="2">
        <f t="shared" si="1"/>
        <v>0.12743625857659191</v>
      </c>
      <c r="D18" s="1"/>
      <c r="E18" s="1"/>
    </row>
    <row r="19" spans="1:5" ht="18.75" x14ac:dyDescent="0.3">
      <c r="A19" s="2">
        <f t="shared" si="2"/>
        <v>0.89999999999999991</v>
      </c>
      <c r="B19" s="2">
        <f t="shared" si="0"/>
        <v>7.5999999999999998E-2</v>
      </c>
      <c r="C19" s="2">
        <f t="shared" si="1"/>
        <v>0.13832931721077782</v>
      </c>
      <c r="D19" s="1"/>
      <c r="E19" s="1"/>
    </row>
    <row r="20" spans="1:5" ht="18.75" x14ac:dyDescent="0.3">
      <c r="A20" s="2">
        <f t="shared" si="2"/>
        <v>0.99999999999999989</v>
      </c>
      <c r="B20" s="2">
        <f t="shared" si="0"/>
        <v>7.9999999999999988E-2</v>
      </c>
      <c r="C20" s="2">
        <f t="shared" si="1"/>
        <v>0.15</v>
      </c>
      <c r="D20" s="1"/>
      <c r="E20" s="1"/>
    </row>
    <row r="21" spans="1:5" ht="18.75" x14ac:dyDescent="0.3">
      <c r="A21" s="1"/>
      <c r="B21" s="1"/>
      <c r="C21" s="1"/>
      <c r="D21" s="1"/>
      <c r="E21" s="1"/>
    </row>
    <row r="22" spans="1:5" ht="18.75" x14ac:dyDescent="0.3">
      <c r="A22" s="1"/>
      <c r="B22" s="1"/>
      <c r="C22" s="1"/>
      <c r="D22" s="1"/>
      <c r="E22" s="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8"/>
  <sheetViews>
    <sheetView topLeftCell="A22" zoomScale="120" zoomScaleNormal="120" workbookViewId="0">
      <selection activeCell="C43" sqref="C43"/>
    </sheetView>
  </sheetViews>
  <sheetFormatPr defaultRowHeight="18.75" x14ac:dyDescent="0.3"/>
  <cols>
    <col min="1" max="1" width="10.7109375" style="1" customWidth="1"/>
    <col min="2" max="4" width="9.140625" style="1"/>
    <col min="5" max="5" width="19" style="1" customWidth="1"/>
    <col min="6" max="6" width="9.7109375" style="1" customWidth="1"/>
    <col min="7" max="7" width="9.140625" style="1"/>
    <col min="8" max="8" width="12" style="1" bestFit="1" customWidth="1"/>
    <col min="9" max="10" width="9.140625" style="1"/>
    <col min="11" max="11" width="12.42578125" style="1" customWidth="1"/>
    <col min="12" max="12" width="12.28515625" style="1" customWidth="1"/>
    <col min="13" max="13" width="9.140625" style="1"/>
    <col min="14" max="14" width="14" style="1" customWidth="1"/>
    <col min="15" max="23" width="9.140625" style="1"/>
    <col min="24" max="24" width="22.85546875" style="1" customWidth="1"/>
    <col min="25" max="16384" width="9.140625" style="1"/>
  </cols>
  <sheetData>
    <row r="1" spans="1:24" ht="18" customHeight="1" x14ac:dyDescent="0.3">
      <c r="A1" s="1" t="s">
        <v>57</v>
      </c>
      <c r="Q1" s="12" t="s">
        <v>39</v>
      </c>
      <c r="R1" s="12"/>
      <c r="S1" s="12"/>
      <c r="T1" s="12"/>
      <c r="U1" s="12"/>
      <c r="V1" s="12"/>
      <c r="W1" s="12"/>
      <c r="X1" s="12"/>
    </row>
    <row r="2" spans="1:24" ht="18" customHeight="1" x14ac:dyDescent="0.3">
      <c r="E2" s="1" t="s">
        <v>49</v>
      </c>
      <c r="Q2" s="12"/>
      <c r="R2" s="12"/>
      <c r="S2" s="12"/>
      <c r="T2" s="12"/>
      <c r="U2" s="12"/>
      <c r="V2" s="12"/>
      <c r="W2" s="12"/>
      <c r="X2" s="12"/>
    </row>
    <row r="3" spans="1:24" x14ac:dyDescent="0.3">
      <c r="A3" s="3" t="s">
        <v>20</v>
      </c>
      <c r="B3" s="3" t="s">
        <v>21</v>
      </c>
      <c r="C3" s="3" t="s">
        <v>22</v>
      </c>
      <c r="G3" s="1" t="s">
        <v>9</v>
      </c>
      <c r="H3" s="1" t="s">
        <v>8</v>
      </c>
      <c r="I3" s="1" t="s">
        <v>10</v>
      </c>
      <c r="K3" s="1" t="s">
        <v>29</v>
      </c>
      <c r="L3" s="1">
        <f>G4^2*A15</f>
        <v>1.553855041123046E-4</v>
      </c>
      <c r="Q3" s="11" t="s">
        <v>44</v>
      </c>
      <c r="R3" s="11"/>
      <c r="S3" s="11"/>
      <c r="T3" s="11"/>
      <c r="U3" s="11"/>
      <c r="V3" s="11"/>
      <c r="W3" s="11"/>
      <c r="X3" s="11"/>
    </row>
    <row r="4" spans="1:24" x14ac:dyDescent="0.3">
      <c r="A4" s="9">
        <v>2E-3</v>
      </c>
      <c r="B4" s="9">
        <v>8.0000000000000002E-3</v>
      </c>
      <c r="C4" s="9">
        <v>4.0000000000000001E-3</v>
      </c>
      <c r="E4" s="1" t="s">
        <v>18</v>
      </c>
      <c r="G4" s="6">
        <v>0.62326861005569778</v>
      </c>
      <c r="H4" s="6">
        <v>9.9723036144815688E-2</v>
      </c>
      <c r="I4" s="5">
        <f>1-G4-H4</f>
        <v>0.27700835379948652</v>
      </c>
      <c r="K4" s="1" t="s">
        <v>12</v>
      </c>
      <c r="L4" s="1">
        <f>H4^2*B16</f>
        <v>2.4861709844850544E-5</v>
      </c>
      <c r="Q4" s="11"/>
      <c r="R4" s="11"/>
      <c r="S4" s="11"/>
      <c r="T4" s="11"/>
      <c r="U4" s="11"/>
      <c r="V4" s="11"/>
      <c r="W4" s="11"/>
      <c r="X4" s="11"/>
    </row>
    <row r="5" spans="1:24" x14ac:dyDescent="0.3">
      <c r="E5" s="1" t="s">
        <v>19</v>
      </c>
      <c r="F5" s="1">
        <f>G4*A4+H4*B4+I4*C4</f>
        <v>3.1523549244678673E-3</v>
      </c>
      <c r="K5" s="1" t="s">
        <v>13</v>
      </c>
      <c r="L5" s="1">
        <f>I4^2*C17</f>
        <v>6.9060265267231337E-5</v>
      </c>
    </row>
    <row r="6" spans="1:24" x14ac:dyDescent="0.3">
      <c r="A6" s="3" t="s">
        <v>23</v>
      </c>
      <c r="B6" s="3" t="s">
        <v>24</v>
      </c>
      <c r="C6" s="3" t="s">
        <v>25</v>
      </c>
      <c r="E6" s="1" t="s">
        <v>28</v>
      </c>
      <c r="F6" s="1">
        <f>SQRT(L10)</f>
        <v>1.5789473684210836E-2</v>
      </c>
      <c r="K6" s="1" t="s">
        <v>14</v>
      </c>
      <c r="L6" s="1">
        <f>2*G4*H4*A16</f>
        <v>0</v>
      </c>
      <c r="Q6" s="11" t="s">
        <v>48</v>
      </c>
      <c r="R6" s="11"/>
      <c r="S6" s="11"/>
      <c r="T6" s="11"/>
      <c r="U6" s="11"/>
      <c r="V6" s="11"/>
      <c r="W6" s="11"/>
      <c r="X6" s="11"/>
    </row>
    <row r="7" spans="1:24" x14ac:dyDescent="0.3">
      <c r="A7" s="9">
        <v>0.02</v>
      </c>
      <c r="B7" s="9">
        <v>0.05</v>
      </c>
      <c r="C7" s="9">
        <v>0.03</v>
      </c>
      <c r="K7" s="1" t="s">
        <v>15</v>
      </c>
      <c r="L7" s="1">
        <f>2*H4*I4*B17</f>
        <v>0</v>
      </c>
      <c r="Q7" s="11"/>
      <c r="R7" s="11"/>
      <c r="S7" s="11"/>
      <c r="T7" s="11"/>
      <c r="U7" s="11"/>
      <c r="V7" s="11"/>
      <c r="W7" s="11"/>
      <c r="X7" s="11"/>
    </row>
    <row r="8" spans="1:24" x14ac:dyDescent="0.3">
      <c r="K8" s="1" t="s">
        <v>16</v>
      </c>
      <c r="L8" s="1">
        <f>2*G4*I4*A17</f>
        <v>0</v>
      </c>
      <c r="Q8" s="11"/>
      <c r="R8" s="11"/>
      <c r="S8" s="11"/>
      <c r="T8" s="11"/>
      <c r="U8" s="11"/>
      <c r="V8" s="11"/>
      <c r="W8" s="11"/>
      <c r="X8" s="11"/>
    </row>
    <row r="9" spans="1:24" x14ac:dyDescent="0.3">
      <c r="A9" s="3" t="s">
        <v>26</v>
      </c>
      <c r="K9" s="1" t="s">
        <v>17</v>
      </c>
      <c r="Q9" s="11"/>
      <c r="R9" s="11"/>
      <c r="S9" s="11"/>
      <c r="T9" s="11"/>
      <c r="U9" s="11"/>
      <c r="V9" s="11"/>
      <c r="W9" s="11"/>
      <c r="X9" s="11"/>
    </row>
    <row r="10" spans="1:24" x14ac:dyDescent="0.3">
      <c r="A10" s="1">
        <v>1</v>
      </c>
      <c r="K10" s="1" t="s">
        <v>11</v>
      </c>
      <c r="L10" s="7">
        <f>SUM(L3:L8)</f>
        <v>2.4930747922438645E-4</v>
      </c>
      <c r="Q10" s="11"/>
      <c r="R10" s="11"/>
      <c r="S10" s="11"/>
      <c r="T10" s="11"/>
      <c r="U10" s="11"/>
      <c r="V10" s="11"/>
      <c r="W10" s="11"/>
      <c r="X10" s="11"/>
    </row>
    <row r="11" spans="1:24" x14ac:dyDescent="0.3">
      <c r="A11" s="9">
        <v>0</v>
      </c>
      <c r="B11" s="1">
        <v>1</v>
      </c>
    </row>
    <row r="12" spans="1:24" x14ac:dyDescent="0.3">
      <c r="A12" s="9">
        <v>0</v>
      </c>
      <c r="B12" s="9">
        <v>0</v>
      </c>
      <c r="C12" s="1">
        <v>1</v>
      </c>
      <c r="E12" s="1" t="s">
        <v>50</v>
      </c>
    </row>
    <row r="13" spans="1:24" ht="18.75" customHeight="1" x14ac:dyDescent="0.3">
      <c r="E13" s="1" t="s">
        <v>30</v>
      </c>
      <c r="Q13" s="10" t="s">
        <v>45</v>
      </c>
      <c r="R13" s="10"/>
      <c r="S13" s="10"/>
      <c r="T13" s="10"/>
      <c r="U13" s="10"/>
      <c r="V13" s="10"/>
      <c r="W13" s="10"/>
      <c r="X13" s="10"/>
    </row>
    <row r="14" spans="1:24" x14ac:dyDescent="0.3">
      <c r="A14" s="3" t="s">
        <v>27</v>
      </c>
      <c r="E14" s="1" t="s">
        <v>31</v>
      </c>
      <c r="F14" s="8">
        <v>6.0000000000000001E-3</v>
      </c>
      <c r="G14" s="1" t="s">
        <v>9</v>
      </c>
      <c r="H14" s="1" t="s">
        <v>8</v>
      </c>
      <c r="I14" s="1" t="s">
        <v>10</v>
      </c>
      <c r="K14" s="1" t="s">
        <v>29</v>
      </c>
      <c r="L14" s="1">
        <f>G15^2*A15</f>
        <v>1.0749798428003968E-7</v>
      </c>
      <c r="N14" s="1">
        <f>MIN($L$21)</f>
        <v>8.4918032788886379E-4</v>
      </c>
      <c r="Q14" s="10"/>
      <c r="R14" s="10"/>
      <c r="S14" s="10"/>
      <c r="T14" s="10"/>
      <c r="U14" s="10"/>
      <c r="V14" s="10"/>
      <c r="W14" s="10"/>
      <c r="X14" s="10"/>
    </row>
    <row r="15" spans="1:24" x14ac:dyDescent="0.3">
      <c r="A15" s="1">
        <f>A7^2</f>
        <v>4.0000000000000002E-4</v>
      </c>
      <c r="E15" s="1" t="s">
        <v>32</v>
      </c>
      <c r="F15" s="8">
        <f>G15*A4+H15*B4+I15*C4</f>
        <v>6.0000000000474977E-3</v>
      </c>
      <c r="G15" s="6">
        <v>1.6393442612828435E-2</v>
      </c>
      <c r="H15" s="6">
        <v>0.50819672131828864</v>
      </c>
      <c r="I15" s="5">
        <f>1-G15-H15</f>
        <v>0.47540983606888287</v>
      </c>
      <c r="K15" s="1" t="s">
        <v>12</v>
      </c>
      <c r="L15" s="1">
        <f>H15^2*B16</f>
        <v>6.4565976889664593E-4</v>
      </c>
      <c r="N15" s="1">
        <f>COUNT($G$15:$H$15)</f>
        <v>2</v>
      </c>
      <c r="Q15" s="10"/>
      <c r="R15" s="10"/>
      <c r="S15" s="10"/>
      <c r="T15" s="10"/>
      <c r="U15" s="10"/>
      <c r="V15" s="10"/>
      <c r="W15" s="10"/>
      <c r="X15" s="10"/>
    </row>
    <row r="16" spans="1:24" x14ac:dyDescent="0.3">
      <c r="A16" s="1">
        <f>A11*A7*B7</f>
        <v>0</v>
      </c>
      <c r="B16" s="1">
        <f>B7^2</f>
        <v>2.5000000000000005E-3</v>
      </c>
      <c r="K16" s="1" t="s">
        <v>13</v>
      </c>
      <c r="L16" s="1">
        <f>I15^2*C17</f>
        <v>2.0341306100793785E-4</v>
      </c>
      <c r="N16" s="1" t="b">
        <f>$F$14=$F$15</f>
        <v>0</v>
      </c>
      <c r="Q16" s="10"/>
      <c r="R16" s="10"/>
      <c r="S16" s="10"/>
      <c r="T16" s="10"/>
      <c r="U16" s="10"/>
      <c r="V16" s="10"/>
      <c r="W16" s="10"/>
      <c r="X16" s="10"/>
    </row>
    <row r="17" spans="1:24" x14ac:dyDescent="0.3">
      <c r="A17" s="1">
        <f>A12*A7*C7</f>
        <v>0</v>
      </c>
      <c r="B17" s="1">
        <f>B12*B7*C7</f>
        <v>0</v>
      </c>
      <c r="C17" s="1">
        <f>C7^2</f>
        <v>8.9999999999999998E-4</v>
      </c>
      <c r="K17" s="1" t="s">
        <v>14</v>
      </c>
      <c r="L17" s="1">
        <f>2*G15*H15*A16</f>
        <v>0</v>
      </c>
      <c r="N17" s="1">
        <f>{100,100,0.000001,0.05,FALSE,FALSE,FALSE,1,1,1,0.0001,FALSE}</f>
        <v>100</v>
      </c>
      <c r="Q17" s="10"/>
      <c r="R17" s="10"/>
      <c r="S17" s="10"/>
      <c r="T17" s="10"/>
      <c r="U17" s="10"/>
      <c r="V17" s="10"/>
      <c r="W17" s="10"/>
      <c r="X17" s="10"/>
    </row>
    <row r="18" spans="1:24" x14ac:dyDescent="0.3">
      <c r="K18" s="1" t="s">
        <v>15</v>
      </c>
      <c r="L18" s="1">
        <f>2*H15*I15*B17</f>
        <v>0</v>
      </c>
      <c r="N18" s="1">
        <f>{100,100,1,100,0,FALSE,TRUE,0.075,0,0,TRUE,30}</f>
        <v>100</v>
      </c>
      <c r="Q18" s="10"/>
      <c r="R18" s="10"/>
      <c r="S18" s="10"/>
      <c r="T18" s="10"/>
      <c r="U18" s="10"/>
      <c r="V18" s="10"/>
      <c r="W18" s="10"/>
      <c r="X18" s="10"/>
    </row>
    <row r="19" spans="1:24" x14ac:dyDescent="0.3">
      <c r="K19" s="1" t="s">
        <v>16</v>
      </c>
      <c r="L19" s="1">
        <f>2*G15*I15*A17</f>
        <v>0</v>
      </c>
      <c r="Q19" s="10"/>
      <c r="R19" s="10"/>
      <c r="S19" s="10"/>
      <c r="T19" s="10"/>
      <c r="U19" s="10"/>
      <c r="V19" s="10"/>
      <c r="W19" s="10"/>
      <c r="X19" s="10"/>
    </row>
    <row r="20" spans="1:24" x14ac:dyDescent="0.3">
      <c r="K20" s="1" t="s">
        <v>17</v>
      </c>
      <c r="Q20" s="10"/>
      <c r="R20" s="10"/>
      <c r="S20" s="10"/>
      <c r="T20" s="10"/>
      <c r="U20" s="10"/>
      <c r="V20" s="10"/>
      <c r="W20" s="10"/>
      <c r="X20" s="10"/>
    </row>
    <row r="21" spans="1:24" x14ac:dyDescent="0.3">
      <c r="K21" s="1" t="s">
        <v>11</v>
      </c>
      <c r="L21" s="7">
        <f>SUM(L14:L19)</f>
        <v>8.4918032788886379E-4</v>
      </c>
      <c r="Q21" s="10"/>
      <c r="R21" s="10"/>
      <c r="S21" s="10"/>
      <c r="T21" s="10"/>
      <c r="U21" s="10"/>
      <c r="V21" s="10"/>
      <c r="W21" s="10"/>
      <c r="X21" s="10"/>
    </row>
    <row r="22" spans="1:24" x14ac:dyDescent="0.3">
      <c r="Q22" s="4"/>
      <c r="R22" s="4"/>
      <c r="S22" s="4"/>
      <c r="T22" s="4"/>
      <c r="U22" s="4"/>
      <c r="V22" s="4"/>
      <c r="W22" s="4"/>
      <c r="X22" s="4"/>
    </row>
    <row r="23" spans="1:24" x14ac:dyDescent="0.3">
      <c r="A23" s="1" t="s">
        <v>51</v>
      </c>
    </row>
    <row r="24" spans="1:24" x14ac:dyDescent="0.3">
      <c r="A24" s="1" t="s">
        <v>52</v>
      </c>
      <c r="B24" s="1">
        <v>0</v>
      </c>
      <c r="C24" s="1">
        <f>B24+0.1</f>
        <v>0.1</v>
      </c>
      <c r="D24" s="1">
        <f t="shared" ref="D24:K24" si="0">C24+0.1</f>
        <v>0.2</v>
      </c>
      <c r="E24" s="1">
        <f t="shared" si="0"/>
        <v>0.30000000000000004</v>
      </c>
      <c r="F24" s="1">
        <f t="shared" si="0"/>
        <v>0.4</v>
      </c>
      <c r="G24" s="1">
        <f t="shared" si="0"/>
        <v>0.5</v>
      </c>
      <c r="H24" s="1">
        <f t="shared" si="0"/>
        <v>0.6</v>
      </c>
      <c r="I24" s="1">
        <f t="shared" si="0"/>
        <v>0.7</v>
      </c>
      <c r="J24" s="1">
        <f t="shared" si="0"/>
        <v>0.79999999999999993</v>
      </c>
      <c r="K24" s="1">
        <f t="shared" si="0"/>
        <v>0.89999999999999991</v>
      </c>
      <c r="L24" s="1">
        <f t="shared" ref="L24:Q24" si="1">K24+0.1</f>
        <v>0.99999999999999989</v>
      </c>
      <c r="M24" s="1">
        <f t="shared" si="1"/>
        <v>1.0999999999999999</v>
      </c>
      <c r="N24" s="1">
        <f t="shared" si="1"/>
        <v>1.2</v>
      </c>
      <c r="O24" s="1">
        <f t="shared" si="1"/>
        <v>1.3</v>
      </c>
      <c r="P24" s="1">
        <f t="shared" si="1"/>
        <v>1.4000000000000001</v>
      </c>
      <c r="Q24" s="1">
        <f t="shared" si="1"/>
        <v>1.5000000000000002</v>
      </c>
    </row>
    <row r="25" spans="1:24" x14ac:dyDescent="0.3">
      <c r="A25" s="1" t="s">
        <v>33</v>
      </c>
      <c r="B25" s="1">
        <f>B24*$G$4+(1-B24)*$G$15</f>
        <v>1.6393442612828435E-2</v>
      </c>
      <c r="C25" s="1">
        <f t="shared" ref="C25:L25" si="2">C24*$G$4+(1-C24)*$G$15</f>
        <v>7.708095935711537E-2</v>
      </c>
      <c r="D25" s="1">
        <f t="shared" si="2"/>
        <v>0.1377684761014023</v>
      </c>
      <c r="E25" s="1">
        <f t="shared" si="2"/>
        <v>0.19845599284568927</v>
      </c>
      <c r="F25" s="1">
        <f t="shared" si="2"/>
        <v>0.25914350958997617</v>
      </c>
      <c r="G25" s="1">
        <f t="shared" si="2"/>
        <v>0.31983102633426308</v>
      </c>
      <c r="H25" s="1">
        <f t="shared" si="2"/>
        <v>0.38051854307855004</v>
      </c>
      <c r="I25" s="1">
        <f t="shared" si="2"/>
        <v>0.441206059822837</v>
      </c>
      <c r="J25" s="1">
        <f t="shared" si="2"/>
        <v>0.50189357656712386</v>
      </c>
      <c r="K25" s="1">
        <f t="shared" si="2"/>
        <v>0.56258109331141082</v>
      </c>
      <c r="L25" s="1">
        <f t="shared" si="2"/>
        <v>0.62326861005569767</v>
      </c>
      <c r="M25" s="1">
        <f>M24*$G$4+(1-M24)*$G$15</f>
        <v>0.68395612679998463</v>
      </c>
      <c r="N25" s="1">
        <f>N24*$G$4+(1-N24)*$G$15</f>
        <v>0.74464364354427171</v>
      </c>
      <c r="O25" s="1">
        <f>O24*$G$4+(1-O24)*$G$15</f>
        <v>0.80533116028855867</v>
      </c>
      <c r="P25" s="1">
        <f>P24*$G$4+(1-P24)*$G$15</f>
        <v>0.86601867703284563</v>
      </c>
      <c r="Q25" s="1">
        <f>Q24*$G$4+(1-Q24)*$G$15</f>
        <v>0.92670619377713259</v>
      </c>
    </row>
    <row r="26" spans="1:24" x14ac:dyDescent="0.3">
      <c r="A26" s="1" t="s">
        <v>34</v>
      </c>
      <c r="B26" s="1">
        <f t="shared" ref="B26:Q26" si="3">B24*$H4+(1-B24)*$H15</f>
        <v>0.50819672131828864</v>
      </c>
      <c r="C26" s="1">
        <f t="shared" si="3"/>
        <v>0.46734935280094136</v>
      </c>
      <c r="D26" s="1">
        <f t="shared" si="3"/>
        <v>0.42650198428359404</v>
      </c>
      <c r="E26" s="1">
        <f t="shared" si="3"/>
        <v>0.38565461576624677</v>
      </c>
      <c r="F26" s="1">
        <f t="shared" si="3"/>
        <v>0.34480724724889944</v>
      </c>
      <c r="G26" s="1">
        <f t="shared" si="3"/>
        <v>0.30395987873155217</v>
      </c>
      <c r="H26" s="1">
        <f t="shared" si="3"/>
        <v>0.26311251021420484</v>
      </c>
      <c r="I26" s="1">
        <f t="shared" si="3"/>
        <v>0.2222651416968576</v>
      </c>
      <c r="J26" s="1">
        <f t="shared" si="3"/>
        <v>0.1814177731795103</v>
      </c>
      <c r="K26" s="1">
        <f t="shared" si="3"/>
        <v>0.14057040466216303</v>
      </c>
      <c r="L26" s="1">
        <f t="shared" si="3"/>
        <v>9.972303614481573E-2</v>
      </c>
      <c r="M26" s="1">
        <f t="shared" si="3"/>
        <v>5.8875667627468445E-2</v>
      </c>
      <c r="N26" s="1">
        <f t="shared" si="3"/>
        <v>1.8028299110121118E-2</v>
      </c>
      <c r="O26" s="1">
        <f t="shared" si="3"/>
        <v>-2.2819069407226222E-2</v>
      </c>
      <c r="P26" s="1">
        <f t="shared" si="3"/>
        <v>-6.3666437924573521E-2</v>
      </c>
      <c r="Q26" s="1">
        <f t="shared" si="3"/>
        <v>-0.10451380644192088</v>
      </c>
    </row>
    <row r="27" spans="1:24" x14ac:dyDescent="0.3">
      <c r="A27" s="1" t="s">
        <v>35</v>
      </c>
      <c r="B27" s="1">
        <f t="shared" ref="B27:Q27" si="4">B24*$I4+(1-B24)*$I15</f>
        <v>0.47540983606888287</v>
      </c>
      <c r="C27" s="1">
        <f t="shared" si="4"/>
        <v>0.45556968784194324</v>
      </c>
      <c r="D27" s="1">
        <f t="shared" si="4"/>
        <v>0.43572953961500366</v>
      </c>
      <c r="E27" s="1">
        <f t="shared" si="4"/>
        <v>0.41588939138806391</v>
      </c>
      <c r="F27" s="1">
        <f t="shared" si="4"/>
        <v>0.39604924316112433</v>
      </c>
      <c r="G27" s="1">
        <f t="shared" si="4"/>
        <v>0.3762090949341847</v>
      </c>
      <c r="H27" s="1">
        <f t="shared" si="4"/>
        <v>0.35636894670724506</v>
      </c>
      <c r="I27" s="1">
        <f t="shared" si="4"/>
        <v>0.33652879848030548</v>
      </c>
      <c r="J27" s="1">
        <f t="shared" si="4"/>
        <v>0.31668865025336579</v>
      </c>
      <c r="K27" s="1">
        <f t="shared" si="4"/>
        <v>0.29684850202642621</v>
      </c>
      <c r="L27" s="1">
        <f t="shared" si="4"/>
        <v>0.27700835379948652</v>
      </c>
      <c r="M27" s="1">
        <f t="shared" si="4"/>
        <v>0.25716820557254688</v>
      </c>
      <c r="N27" s="1">
        <f t="shared" si="4"/>
        <v>0.23732805734560725</v>
      </c>
      <c r="O27" s="1">
        <f t="shared" si="4"/>
        <v>0.21748790911866761</v>
      </c>
      <c r="P27" s="1">
        <f t="shared" si="4"/>
        <v>0.19764776089172795</v>
      </c>
      <c r="Q27" s="1">
        <f t="shared" si="4"/>
        <v>0.17780761266478828</v>
      </c>
    </row>
    <row r="29" spans="1:24" x14ac:dyDescent="0.3">
      <c r="A29" s="1" t="s">
        <v>37</v>
      </c>
      <c r="B29" s="1">
        <f t="shared" ref="B29:Q29" si="5">B25^2*$A15+B26^2*$B16+B27^2*$C17+2*B25*B26*$A16+2*B25*B27*$A17+2*B26*B27*$B17</f>
        <v>8.4918032788886379E-4</v>
      </c>
      <c r="C29" s="1">
        <f t="shared" si="5"/>
        <v>7.3520450005917727E-4</v>
      </c>
      <c r="D29" s="1">
        <f t="shared" si="5"/>
        <v>6.3322612622132156E-4</v>
      </c>
      <c r="E29" s="1">
        <f t="shared" si="5"/>
        <v>5.4324520637529677E-4</v>
      </c>
      <c r="F29" s="1">
        <f t="shared" si="5"/>
        <v>4.6526174052110273E-4</v>
      </c>
      <c r="G29" s="1">
        <f t="shared" si="5"/>
        <v>3.9927572865873962E-4</v>
      </c>
      <c r="H29" s="1">
        <f t="shared" si="5"/>
        <v>3.4528717078820726E-4</v>
      </c>
      <c r="I29" s="1">
        <f t="shared" si="5"/>
        <v>3.0329606690950587E-4</v>
      </c>
      <c r="J29" s="1">
        <f t="shared" si="5"/>
        <v>2.7330241702263518E-4</v>
      </c>
      <c r="K29" s="1">
        <f t="shared" si="5"/>
        <v>2.5530622112759547E-4</v>
      </c>
      <c r="L29" s="1">
        <f t="shared" si="5"/>
        <v>2.493074792243864E-4</v>
      </c>
      <c r="M29" s="1">
        <f t="shared" si="5"/>
        <v>2.5530619131300836E-4</v>
      </c>
      <c r="N29" s="1">
        <f t="shared" si="5"/>
        <v>2.7330235739346119E-4</v>
      </c>
      <c r="O29" s="1">
        <f t="shared" si="5"/>
        <v>3.0329597746574488E-4</v>
      </c>
      <c r="P29" s="1">
        <f t="shared" si="5"/>
        <v>3.4528705152985932E-4</v>
      </c>
      <c r="Q29" s="1">
        <f t="shared" si="5"/>
        <v>3.9927557958580474E-4</v>
      </c>
    </row>
    <row r="30" spans="1:24" x14ac:dyDescent="0.3">
      <c r="A30" s="1" t="s">
        <v>38</v>
      </c>
      <c r="B30" s="1">
        <f t="shared" ref="B30:Q30" si="6">SQRT(B29)</f>
        <v>2.9140698822932572E-2</v>
      </c>
      <c r="C30" s="1">
        <f t="shared" si="6"/>
        <v>2.7114654710307069E-2</v>
      </c>
      <c r="D30" s="1">
        <f t="shared" si="6"/>
        <v>2.5163984704758537E-2</v>
      </c>
      <c r="E30" s="1">
        <f t="shared" si="6"/>
        <v>2.3307621207993252E-2</v>
      </c>
      <c r="F30" s="1">
        <f t="shared" si="6"/>
        <v>2.1569926762070906E-2</v>
      </c>
      <c r="G30" s="1">
        <f t="shared" si="6"/>
        <v>1.9981885012649324E-2</v>
      </c>
      <c r="H30" s="1">
        <f t="shared" si="6"/>
        <v>1.858190439078318E-2</v>
      </c>
      <c r="I30" s="1">
        <f t="shared" si="6"/>
        <v>1.7415397408888086E-2</v>
      </c>
      <c r="J30" s="1">
        <f t="shared" si="6"/>
        <v>1.6531860664263875E-2</v>
      </c>
      <c r="K30" s="1">
        <f t="shared" si="6"/>
        <v>1.5978304701300305E-2</v>
      </c>
      <c r="L30" s="1">
        <f t="shared" si="6"/>
        <v>1.5789473684210832E-2</v>
      </c>
      <c r="M30" s="1">
        <f t="shared" si="6"/>
        <v>1.5978303768329365E-2</v>
      </c>
      <c r="N30" s="1">
        <f t="shared" si="6"/>
        <v>1.6531858860801503E-2</v>
      </c>
      <c r="O30" s="1">
        <f t="shared" si="6"/>
        <v>1.7415394840937282E-2</v>
      </c>
      <c r="P30" s="1">
        <f t="shared" si="6"/>
        <v>1.8581901181791365E-2</v>
      </c>
      <c r="Q30" s="1">
        <f t="shared" si="6"/>
        <v>1.9981881282446975E-2</v>
      </c>
    </row>
    <row r="31" spans="1:24" x14ac:dyDescent="0.3">
      <c r="A31" s="1" t="s">
        <v>36</v>
      </c>
      <c r="B31" s="1">
        <f t="shared" ref="B31:Q31" si="7">B25*$A4+B26*$B4+B27*$C4</f>
        <v>6.0000000000474977E-3</v>
      </c>
      <c r="C31" s="1">
        <f t="shared" si="7"/>
        <v>5.7152354924895352E-3</v>
      </c>
      <c r="D31" s="1">
        <f t="shared" si="7"/>
        <v>5.4304709849315718E-3</v>
      </c>
      <c r="E31" s="1">
        <f t="shared" si="7"/>
        <v>5.1457064773736084E-3</v>
      </c>
      <c r="F31" s="1">
        <f t="shared" si="7"/>
        <v>4.860941969815645E-3</v>
      </c>
      <c r="G31" s="1">
        <f t="shared" si="7"/>
        <v>4.5761774622576825E-3</v>
      </c>
      <c r="H31" s="1">
        <f t="shared" si="7"/>
        <v>4.2914129546997191E-3</v>
      </c>
      <c r="I31" s="1">
        <f t="shared" si="7"/>
        <v>4.0066484471417566E-3</v>
      </c>
      <c r="J31" s="1">
        <f t="shared" si="7"/>
        <v>3.7218839395837932E-3</v>
      </c>
      <c r="K31" s="1">
        <f t="shared" si="7"/>
        <v>3.4371194320258307E-3</v>
      </c>
      <c r="L31" s="1">
        <f t="shared" si="7"/>
        <v>3.1523549244678673E-3</v>
      </c>
      <c r="M31" s="1">
        <f t="shared" si="7"/>
        <v>2.8675904169099048E-3</v>
      </c>
      <c r="N31" s="1">
        <f t="shared" si="7"/>
        <v>2.5828259093519414E-3</v>
      </c>
      <c r="O31" s="1">
        <f t="shared" si="7"/>
        <v>2.298061401793978E-3</v>
      </c>
      <c r="P31" s="1">
        <f t="shared" si="7"/>
        <v>2.0132968942360146E-3</v>
      </c>
      <c r="Q31" s="1">
        <f t="shared" si="7"/>
        <v>1.7285323866780514E-3</v>
      </c>
    </row>
    <row r="46" spans="5:24" x14ac:dyDescent="0.3">
      <c r="E46" s="1" t="s">
        <v>54</v>
      </c>
      <c r="Q46" s="3" t="s">
        <v>40</v>
      </c>
    </row>
    <row r="47" spans="5:24" ht="18.75" customHeight="1" x14ac:dyDescent="0.3">
      <c r="G47" s="1" t="s">
        <v>9</v>
      </c>
      <c r="H47" s="1" t="s">
        <v>8</v>
      </c>
      <c r="I47" s="1" t="s">
        <v>10</v>
      </c>
      <c r="K47" s="1" t="s">
        <v>29</v>
      </c>
      <c r="L47" s="1">
        <f>G48^2*A15</f>
        <v>6.2545924118215184E-5</v>
      </c>
      <c r="Q47" s="10" t="s">
        <v>53</v>
      </c>
      <c r="R47" s="10"/>
      <c r="S47" s="10"/>
      <c r="T47" s="10"/>
      <c r="U47" s="10"/>
      <c r="V47" s="10"/>
      <c r="W47" s="10"/>
      <c r="X47" s="10"/>
    </row>
    <row r="48" spans="5:24" x14ac:dyDescent="0.3">
      <c r="E48" s="1" t="s">
        <v>41</v>
      </c>
      <c r="G48" s="6">
        <v>0.39542990566665281</v>
      </c>
      <c r="H48" s="6">
        <v>0.25307560216491132</v>
      </c>
      <c r="I48" s="1">
        <f>1-G48-H48</f>
        <v>0.35149449216843587</v>
      </c>
      <c r="K48" s="1" t="s">
        <v>12</v>
      </c>
      <c r="L48" s="1">
        <f>H48^2*B16</f>
        <v>1.6011815102783122E-4</v>
      </c>
      <c r="Q48" s="10"/>
      <c r="R48" s="10"/>
      <c r="S48" s="10"/>
      <c r="T48" s="10"/>
      <c r="U48" s="10"/>
      <c r="V48" s="10"/>
      <c r="W48" s="10"/>
      <c r="X48" s="10"/>
    </row>
    <row r="49" spans="1:24" x14ac:dyDescent="0.3">
      <c r="E49" s="1" t="s">
        <v>42</v>
      </c>
      <c r="F49" s="1">
        <f>G48*A4+H48*B4+I48*C4</f>
        <v>4.22144259732634E-3</v>
      </c>
      <c r="K49" s="1" t="s">
        <v>13</v>
      </c>
      <c r="L49" s="1">
        <f>I48^2*C17</f>
        <v>1.1119354022227195E-4</v>
      </c>
      <c r="Q49" s="10"/>
      <c r="R49" s="10"/>
      <c r="S49" s="10"/>
      <c r="T49" s="10"/>
      <c r="U49" s="10"/>
      <c r="V49" s="10"/>
      <c r="W49" s="10"/>
      <c r="X49" s="10"/>
    </row>
    <row r="50" spans="1:24" x14ac:dyDescent="0.3">
      <c r="E50" s="1" t="s">
        <v>43</v>
      </c>
      <c r="F50" s="1">
        <f>SQRT(L54)</f>
        <v>1.8271770997041265E-2</v>
      </c>
      <c r="K50" s="1" t="s">
        <v>14</v>
      </c>
      <c r="L50" s="1">
        <f>2*G48*H48*A16</f>
        <v>0</v>
      </c>
      <c r="Q50" s="10"/>
      <c r="R50" s="10"/>
      <c r="S50" s="10"/>
      <c r="T50" s="10"/>
      <c r="U50" s="10"/>
      <c r="V50" s="10"/>
      <c r="W50" s="10"/>
      <c r="X50" s="10"/>
    </row>
    <row r="51" spans="1:24" x14ac:dyDescent="0.3">
      <c r="E51" s="1" t="s">
        <v>46</v>
      </c>
      <c r="F51" s="7">
        <f>F49/F50</f>
        <v>0.23103631268200084</v>
      </c>
      <c r="K51" s="1" t="s">
        <v>15</v>
      </c>
      <c r="L51" s="1">
        <f>2*H48*I48*B17</f>
        <v>0</v>
      </c>
      <c r="Q51" s="10"/>
      <c r="R51" s="10"/>
      <c r="S51" s="10"/>
      <c r="T51" s="10"/>
      <c r="U51" s="10"/>
      <c r="V51" s="10"/>
      <c r="W51" s="10"/>
      <c r="X51" s="10"/>
    </row>
    <row r="52" spans="1:24" x14ac:dyDescent="0.3">
      <c r="K52" s="1" t="s">
        <v>16</v>
      </c>
      <c r="L52" s="1">
        <f>2*G48*I48*A17</f>
        <v>0</v>
      </c>
      <c r="Q52" s="10"/>
      <c r="R52" s="10"/>
      <c r="S52" s="10"/>
      <c r="T52" s="10"/>
      <c r="U52" s="10"/>
      <c r="V52" s="10"/>
      <c r="W52" s="10"/>
      <c r="X52" s="10"/>
    </row>
    <row r="53" spans="1:24" x14ac:dyDescent="0.3">
      <c r="K53" s="1" t="s">
        <v>17</v>
      </c>
      <c r="Q53" s="10"/>
      <c r="R53" s="10"/>
      <c r="S53" s="10"/>
      <c r="T53" s="10"/>
      <c r="U53" s="10"/>
      <c r="V53" s="10"/>
      <c r="W53" s="10"/>
      <c r="X53" s="10"/>
    </row>
    <row r="54" spans="1:24" x14ac:dyDescent="0.3">
      <c r="K54" s="1" t="s">
        <v>11</v>
      </c>
      <c r="L54" s="1">
        <f>SUM(L47:L52)</f>
        <v>3.3385761536831838E-4</v>
      </c>
      <c r="Q54" s="10"/>
      <c r="R54" s="10"/>
      <c r="S54" s="10"/>
      <c r="T54" s="10"/>
      <c r="U54" s="10"/>
      <c r="V54" s="10"/>
      <c r="W54" s="10"/>
      <c r="X54" s="10"/>
    </row>
    <row r="55" spans="1:24" x14ac:dyDescent="0.3">
      <c r="A55" s="1" t="s">
        <v>55</v>
      </c>
    </row>
    <row r="56" spans="1:24" x14ac:dyDescent="0.3">
      <c r="A56" s="1" t="s">
        <v>56</v>
      </c>
      <c r="B56" s="1">
        <v>0</v>
      </c>
      <c r="C56" s="1">
        <f>B56+0.1</f>
        <v>0.1</v>
      </c>
      <c r="D56" s="1">
        <f t="shared" ref="D56" si="8">C56+0.1</f>
        <v>0.2</v>
      </c>
      <c r="E56" s="1">
        <f t="shared" ref="E56" si="9">D56+0.1</f>
        <v>0.30000000000000004</v>
      </c>
      <c r="F56" s="1">
        <f t="shared" ref="F56" si="10">E56+0.1</f>
        <v>0.4</v>
      </c>
      <c r="G56" s="1">
        <f t="shared" ref="G56" si="11">F56+0.1</f>
        <v>0.5</v>
      </c>
      <c r="H56" s="1">
        <f t="shared" ref="H56" si="12">G56+0.1</f>
        <v>0.6</v>
      </c>
      <c r="I56" s="1">
        <f t="shared" ref="I56" si="13">H56+0.1</f>
        <v>0.7</v>
      </c>
      <c r="J56" s="1">
        <f t="shared" ref="J56" si="14">I56+0.1</f>
        <v>0.79999999999999993</v>
      </c>
      <c r="K56" s="1">
        <f t="shared" ref="K56" si="15">J56+0.1</f>
        <v>0.89999999999999991</v>
      </c>
      <c r="L56" s="1">
        <f t="shared" ref="L56" si="16">K56+0.1</f>
        <v>0.99999999999999989</v>
      </c>
      <c r="M56" s="1">
        <f t="shared" ref="M56" si="17">L56+0.1</f>
        <v>1.0999999999999999</v>
      </c>
      <c r="N56" s="1">
        <f t="shared" ref="N56" si="18">M56+0.1</f>
        <v>1.2</v>
      </c>
      <c r="O56" s="1">
        <f t="shared" ref="O56" si="19">N56+0.1</f>
        <v>1.3</v>
      </c>
      <c r="P56" s="1">
        <f t="shared" ref="P56" si="20">O56+0.1</f>
        <v>1.4000000000000001</v>
      </c>
      <c r="Q56" s="1">
        <f t="shared" ref="Q56" si="21">P56+0.1</f>
        <v>1.5000000000000002</v>
      </c>
    </row>
    <row r="57" spans="1:24" x14ac:dyDescent="0.3">
      <c r="A57" s="1" t="s">
        <v>33</v>
      </c>
      <c r="B57" s="1">
        <f>B56*$G$48+(1-B56)*0</f>
        <v>0</v>
      </c>
      <c r="C57" s="1">
        <f t="shared" ref="C57:Q57" si="22">C56*$G$48+(1-C56)*0</f>
        <v>3.9542990566665284E-2</v>
      </c>
      <c r="D57" s="1">
        <f t="shared" si="22"/>
        <v>7.9085981133330568E-2</v>
      </c>
      <c r="E57" s="1">
        <f t="shared" si="22"/>
        <v>0.11862897169999587</v>
      </c>
      <c r="F57" s="1">
        <f t="shared" si="22"/>
        <v>0.15817196226666114</v>
      </c>
      <c r="G57" s="1">
        <f t="shared" si="22"/>
        <v>0.19771495283332641</v>
      </c>
      <c r="H57" s="1">
        <f t="shared" si="22"/>
        <v>0.23725794339999168</v>
      </c>
      <c r="I57" s="1">
        <f t="shared" si="22"/>
        <v>0.27680093396665695</v>
      </c>
      <c r="J57" s="1">
        <f t="shared" si="22"/>
        <v>0.31634392453332222</v>
      </c>
      <c r="K57" s="1">
        <f t="shared" si="22"/>
        <v>0.35588691509998749</v>
      </c>
      <c r="L57" s="1">
        <f t="shared" si="22"/>
        <v>0.39542990566665276</v>
      </c>
      <c r="M57" s="1">
        <f t="shared" si="22"/>
        <v>0.43497289623331803</v>
      </c>
      <c r="N57" s="1">
        <f t="shared" si="22"/>
        <v>0.47451588679998336</v>
      </c>
      <c r="O57" s="1">
        <f t="shared" si="22"/>
        <v>0.51405887736664868</v>
      </c>
      <c r="P57" s="1">
        <f t="shared" si="22"/>
        <v>0.55360186793331401</v>
      </c>
      <c r="Q57" s="1">
        <f t="shared" si="22"/>
        <v>0.59314485849997933</v>
      </c>
    </row>
    <row r="58" spans="1:24" x14ac:dyDescent="0.3">
      <c r="A58" s="1" t="s">
        <v>34</v>
      </c>
      <c r="B58" s="1">
        <f>B56*$H$48+(1-B56)*0</f>
        <v>0</v>
      </c>
      <c r="C58" s="1">
        <f t="shared" ref="C58:Q58" si="23">C56*$H$48+(1-C56)*0</f>
        <v>2.5307560216491134E-2</v>
      </c>
      <c r="D58" s="1">
        <f t="shared" si="23"/>
        <v>5.0615120432982268E-2</v>
      </c>
      <c r="E58" s="1">
        <f t="shared" si="23"/>
        <v>7.5922680649473412E-2</v>
      </c>
      <c r="F58" s="1">
        <f t="shared" si="23"/>
        <v>0.10123024086596454</v>
      </c>
      <c r="G58" s="1">
        <f t="shared" si="23"/>
        <v>0.12653780108245566</v>
      </c>
      <c r="H58" s="1">
        <f t="shared" si="23"/>
        <v>0.1518453612989468</v>
      </c>
      <c r="I58" s="1">
        <f t="shared" si="23"/>
        <v>0.17715292151543791</v>
      </c>
      <c r="J58" s="1">
        <f t="shared" si="23"/>
        <v>0.20246048173192904</v>
      </c>
      <c r="K58" s="1">
        <f t="shared" si="23"/>
        <v>0.22776804194842015</v>
      </c>
      <c r="L58" s="1">
        <f t="shared" si="23"/>
        <v>0.25307560216491126</v>
      </c>
      <c r="M58" s="1">
        <f t="shared" si="23"/>
        <v>0.27838316238140243</v>
      </c>
      <c r="N58" s="1">
        <f t="shared" si="23"/>
        <v>0.30369072259789359</v>
      </c>
      <c r="O58" s="1">
        <f t="shared" si="23"/>
        <v>0.3289982828143847</v>
      </c>
      <c r="P58" s="1">
        <f t="shared" si="23"/>
        <v>0.35430584303087587</v>
      </c>
      <c r="Q58" s="1">
        <f t="shared" si="23"/>
        <v>0.37961340324736703</v>
      </c>
    </row>
    <row r="59" spans="1:24" x14ac:dyDescent="0.3">
      <c r="A59" s="1" t="s">
        <v>35</v>
      </c>
      <c r="B59" s="1">
        <f>B56*$I48+(1-B56)*0</f>
        <v>0</v>
      </c>
      <c r="C59" s="1">
        <f t="shared" ref="C59:Q59" si="24">C56*$I48+(1-C56)*0</f>
        <v>3.5149449216843591E-2</v>
      </c>
      <c r="D59" s="1">
        <f t="shared" si="24"/>
        <v>7.0298898433687182E-2</v>
      </c>
      <c r="E59" s="1">
        <f t="shared" si="24"/>
        <v>0.10544834765053078</v>
      </c>
      <c r="F59" s="1">
        <f t="shared" si="24"/>
        <v>0.14059779686737436</v>
      </c>
      <c r="G59" s="1">
        <f t="shared" si="24"/>
        <v>0.17574724608421793</v>
      </c>
      <c r="H59" s="1">
        <f t="shared" si="24"/>
        <v>0.2108966953010615</v>
      </c>
      <c r="I59" s="1">
        <f t="shared" si="24"/>
        <v>0.2460461445179051</v>
      </c>
      <c r="J59" s="1">
        <f t="shared" si="24"/>
        <v>0.28119559373474867</v>
      </c>
      <c r="K59" s="1">
        <f t="shared" si="24"/>
        <v>0.31634504295159227</v>
      </c>
      <c r="L59" s="1">
        <f t="shared" si="24"/>
        <v>0.35149449216843581</v>
      </c>
      <c r="M59" s="1">
        <f t="shared" si="24"/>
        <v>0.38664394138527941</v>
      </c>
      <c r="N59" s="1">
        <f t="shared" si="24"/>
        <v>0.42179339060212301</v>
      </c>
      <c r="O59" s="1">
        <f t="shared" si="24"/>
        <v>0.45694283981896666</v>
      </c>
      <c r="P59" s="1">
        <f t="shared" si="24"/>
        <v>0.49209228903581026</v>
      </c>
      <c r="Q59" s="1">
        <f t="shared" si="24"/>
        <v>0.52724173825265386</v>
      </c>
    </row>
    <row r="61" spans="1:24" x14ac:dyDescent="0.3">
      <c r="A61" s="1" t="s">
        <v>37</v>
      </c>
      <c r="B61" s="1">
        <f t="shared" ref="B61:Q61" si="25">B57^2*$A15+B58^2*$B16+B59^2*$C17+2*B57*B58*$A16+2*B57*B59*$A17+2*B58*B59*$B17</f>
        <v>0</v>
      </c>
      <c r="C61" s="1">
        <f t="shared" si="25"/>
        <v>3.3385761536831841E-6</v>
      </c>
      <c r="D61" s="1">
        <f t="shared" si="25"/>
        <v>1.3354304614732736E-5</v>
      </c>
      <c r="E61" s="1">
        <f t="shared" si="25"/>
        <v>3.0047185383148664E-5</v>
      </c>
      <c r="F61" s="1">
        <f t="shared" si="25"/>
        <v>5.3417218458930945E-5</v>
      </c>
      <c r="G61" s="1">
        <f t="shared" si="25"/>
        <v>8.3464403842079595E-5</v>
      </c>
      <c r="H61" s="1">
        <f t="shared" si="25"/>
        <v>1.201887415325946E-4</v>
      </c>
      <c r="I61" s="1">
        <f t="shared" si="25"/>
        <v>1.6359023153047597E-4</v>
      </c>
      <c r="J61" s="1">
        <f t="shared" si="25"/>
        <v>2.136688738357237E-4</v>
      </c>
      <c r="K61" s="1">
        <f t="shared" si="25"/>
        <v>2.7042466844833782E-4</v>
      </c>
      <c r="L61" s="1">
        <f t="shared" si="25"/>
        <v>3.3385761536831822E-4</v>
      </c>
      <c r="M61" s="1">
        <f t="shared" si="25"/>
        <v>4.0396771459566512E-4</v>
      </c>
      <c r="N61" s="1">
        <f t="shared" si="25"/>
        <v>4.807549661303784E-4</v>
      </c>
      <c r="O61" s="1">
        <f t="shared" si="25"/>
        <v>5.6421936997245808E-4</v>
      </c>
      <c r="P61" s="1">
        <f t="shared" si="25"/>
        <v>6.5436092612190409E-4</v>
      </c>
      <c r="Q61" s="1">
        <f t="shared" si="25"/>
        <v>7.5117963457871644E-4</v>
      </c>
    </row>
    <row r="62" spans="1:24" x14ac:dyDescent="0.3">
      <c r="A62" s="1" t="s">
        <v>38</v>
      </c>
      <c r="B62" s="1">
        <f t="shared" ref="B62:Q62" si="26">SQRT(B61)</f>
        <v>0</v>
      </c>
      <c r="C62" s="1">
        <f t="shared" si="26"/>
        <v>1.8271770997041266E-3</v>
      </c>
      <c r="D62" s="1">
        <f t="shared" si="26"/>
        <v>3.6543541994082532E-3</v>
      </c>
      <c r="E62" s="1">
        <f t="shared" si="26"/>
        <v>5.4815312991123803E-3</v>
      </c>
      <c r="F62" s="1">
        <f t="shared" si="26"/>
        <v>7.3087083988165064E-3</v>
      </c>
      <c r="G62" s="1">
        <f t="shared" si="26"/>
        <v>9.1358854985206326E-3</v>
      </c>
      <c r="H62" s="1">
        <f t="shared" si="26"/>
        <v>1.0963062598224759E-2</v>
      </c>
      <c r="I62" s="1">
        <f t="shared" si="26"/>
        <v>1.2790239697928885E-2</v>
      </c>
      <c r="J62" s="1">
        <f t="shared" si="26"/>
        <v>1.4617416797633011E-2</v>
      </c>
      <c r="K62" s="1">
        <f t="shared" si="26"/>
        <v>1.6444593897337136E-2</v>
      </c>
      <c r="L62" s="1">
        <f t="shared" si="26"/>
        <v>1.8271770997041262E-2</v>
      </c>
      <c r="M62" s="1">
        <f t="shared" si="26"/>
        <v>2.0098948096745388E-2</v>
      </c>
      <c r="N62" s="1">
        <f t="shared" si="26"/>
        <v>2.1926125196449518E-2</v>
      </c>
      <c r="O62" s="1">
        <f t="shared" si="26"/>
        <v>2.3753302296153647E-2</v>
      </c>
      <c r="P62" s="1">
        <f t="shared" si="26"/>
        <v>2.5580479395857773E-2</v>
      </c>
      <c r="Q62" s="1">
        <f t="shared" si="26"/>
        <v>2.74076564955619E-2</v>
      </c>
    </row>
    <row r="63" spans="1:24" x14ac:dyDescent="0.3">
      <c r="A63" s="1" t="s">
        <v>36</v>
      </c>
      <c r="B63" s="1">
        <f t="shared" ref="B63:Q63" si="27">B57*$A4+B58*$B4+B59*$C4</f>
        <v>0</v>
      </c>
      <c r="C63" s="1">
        <f t="shared" si="27"/>
        <v>4.22144259732634E-4</v>
      </c>
      <c r="D63" s="1">
        <f t="shared" si="27"/>
        <v>8.4428851946526801E-4</v>
      </c>
      <c r="E63" s="1">
        <f t="shared" si="27"/>
        <v>1.2664327791979022E-3</v>
      </c>
      <c r="F63" s="1">
        <f t="shared" si="27"/>
        <v>1.688577038930536E-3</v>
      </c>
      <c r="G63" s="1">
        <f t="shared" si="27"/>
        <v>2.11072129866317E-3</v>
      </c>
      <c r="H63" s="1">
        <f t="shared" si="27"/>
        <v>2.532865558395804E-3</v>
      </c>
      <c r="I63" s="1">
        <f t="shared" si="27"/>
        <v>2.9550098181284376E-3</v>
      </c>
      <c r="J63" s="1">
        <f t="shared" si="27"/>
        <v>3.3771540778610716E-3</v>
      </c>
      <c r="K63" s="1">
        <f t="shared" si="27"/>
        <v>3.7992983375937052E-3</v>
      </c>
      <c r="L63" s="1">
        <f t="shared" si="27"/>
        <v>4.2214425973263383E-3</v>
      </c>
      <c r="M63" s="1">
        <f t="shared" si="27"/>
        <v>4.6435868570589732E-3</v>
      </c>
      <c r="N63" s="1">
        <f t="shared" si="27"/>
        <v>5.065731116791608E-3</v>
      </c>
      <c r="O63" s="1">
        <f t="shared" si="27"/>
        <v>5.487875376524242E-3</v>
      </c>
      <c r="P63" s="1">
        <f t="shared" si="27"/>
        <v>5.910019636256876E-3</v>
      </c>
      <c r="Q63" s="1">
        <f t="shared" si="27"/>
        <v>6.33216389598951E-3</v>
      </c>
    </row>
    <row r="65" spans="17:24" x14ac:dyDescent="0.3">
      <c r="Q65" s="10" t="s">
        <v>47</v>
      </c>
      <c r="R65" s="10"/>
      <c r="S65" s="10"/>
      <c r="T65" s="10"/>
      <c r="U65" s="10"/>
      <c r="V65" s="10"/>
      <c r="W65" s="10"/>
      <c r="X65" s="10"/>
    </row>
    <row r="66" spans="17:24" x14ac:dyDescent="0.3">
      <c r="Q66" s="10"/>
      <c r="R66" s="10"/>
      <c r="S66" s="10"/>
      <c r="T66" s="10"/>
      <c r="U66" s="10"/>
      <c r="V66" s="10"/>
      <c r="W66" s="10"/>
      <c r="X66" s="10"/>
    </row>
    <row r="67" spans="17:24" x14ac:dyDescent="0.3">
      <c r="Q67" s="10"/>
      <c r="R67" s="10"/>
      <c r="S67" s="10"/>
      <c r="T67" s="10"/>
      <c r="U67" s="10"/>
      <c r="V67" s="10"/>
      <c r="W67" s="10"/>
      <c r="X67" s="10"/>
    </row>
    <row r="68" spans="17:24" x14ac:dyDescent="0.3">
      <c r="Q68" s="10"/>
      <c r="R68" s="10"/>
      <c r="S68" s="10"/>
      <c r="T68" s="10"/>
      <c r="U68" s="10"/>
      <c r="V68" s="10"/>
      <c r="W68" s="10"/>
      <c r="X68" s="10"/>
    </row>
  </sheetData>
  <mergeCells count="6">
    <mergeCell ref="Q65:X68"/>
    <mergeCell ref="Q3:X4"/>
    <mergeCell ref="Q6:X10"/>
    <mergeCell ref="Q13:X21"/>
    <mergeCell ref="Q1:X2"/>
    <mergeCell ref="Q47:X5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2-asset</vt:lpstr>
      <vt:lpstr>3-asset</vt:lpstr>
      <vt:lpstr>Sheet3</vt:lpstr>
    </vt:vector>
  </TitlesOfParts>
  <Company>Lenovo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User</dc:creator>
  <cp:lastModifiedBy>%</cp:lastModifiedBy>
  <dcterms:created xsi:type="dcterms:W3CDTF">2011-09-07T00:16:46Z</dcterms:created>
  <dcterms:modified xsi:type="dcterms:W3CDTF">2022-01-07T17:26:14Z</dcterms:modified>
</cp:coreProperties>
</file>